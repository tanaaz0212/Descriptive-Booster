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naa\Desktop\"/>
    </mc:Choice>
  </mc:AlternateContent>
  <xr:revisionPtr revIDLastSave="0" documentId="13_ncr:1_{6A629567-2239-4A2C-BD1D-CA5E34E0949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1" l="1"/>
  <c r="J27" i="1"/>
  <c r="J28" i="1"/>
  <c r="K23" i="1"/>
  <c r="J23" i="1"/>
  <c r="I23" i="1"/>
  <c r="I15" i="1"/>
  <c r="I11" i="1"/>
  <c r="I7" i="1"/>
  <c r="I3" i="1"/>
  <c r="L23" i="1" l="1"/>
</calcChain>
</file>

<file path=xl/sharedStrings.xml><?xml version="1.0" encoding="utf-8"?>
<sst xmlns="http://schemas.openxmlformats.org/spreadsheetml/2006/main" count="739" uniqueCount="207">
  <si>
    <t>Household_ID</t>
  </si>
  <si>
    <t>Age_of_Household_Head</t>
  </si>
  <si>
    <t>Household_Income</t>
  </si>
  <si>
    <t>Education_Level</t>
  </si>
  <si>
    <t>Family_Size</t>
  </si>
  <si>
    <t>Owns_House</t>
  </si>
  <si>
    <t>Urban_Rural</t>
  </si>
  <si>
    <t>HH_1</t>
  </si>
  <si>
    <t>HH_2</t>
  </si>
  <si>
    <t>HH_3</t>
  </si>
  <si>
    <t>HH_4</t>
  </si>
  <si>
    <t>HH_5</t>
  </si>
  <si>
    <t>HH_6</t>
  </si>
  <si>
    <t>HH_7</t>
  </si>
  <si>
    <t>HH_8</t>
  </si>
  <si>
    <t>HH_9</t>
  </si>
  <si>
    <t>HH_10</t>
  </si>
  <si>
    <t>HH_11</t>
  </si>
  <si>
    <t>HH_12</t>
  </si>
  <si>
    <t>HH_13</t>
  </si>
  <si>
    <t>HH_14</t>
  </si>
  <si>
    <t>HH_15</t>
  </si>
  <si>
    <t>HH_16</t>
  </si>
  <si>
    <t>HH_17</t>
  </si>
  <si>
    <t>HH_18</t>
  </si>
  <si>
    <t>HH_19</t>
  </si>
  <si>
    <t>HH_20</t>
  </si>
  <si>
    <t>HH_21</t>
  </si>
  <si>
    <t>HH_22</t>
  </si>
  <si>
    <t>HH_23</t>
  </si>
  <si>
    <t>HH_24</t>
  </si>
  <si>
    <t>HH_25</t>
  </si>
  <si>
    <t>HH_26</t>
  </si>
  <si>
    <t>HH_27</t>
  </si>
  <si>
    <t>HH_28</t>
  </si>
  <si>
    <t>HH_29</t>
  </si>
  <si>
    <t>HH_30</t>
  </si>
  <si>
    <t>HH_31</t>
  </si>
  <si>
    <t>HH_32</t>
  </si>
  <si>
    <t>HH_33</t>
  </si>
  <si>
    <t>HH_34</t>
  </si>
  <si>
    <t>HH_35</t>
  </si>
  <si>
    <t>HH_36</t>
  </si>
  <si>
    <t>HH_37</t>
  </si>
  <si>
    <t>HH_38</t>
  </si>
  <si>
    <t>HH_39</t>
  </si>
  <si>
    <t>HH_40</t>
  </si>
  <si>
    <t>HH_41</t>
  </si>
  <si>
    <t>HH_42</t>
  </si>
  <si>
    <t>HH_43</t>
  </si>
  <si>
    <t>HH_44</t>
  </si>
  <si>
    <t>HH_45</t>
  </si>
  <si>
    <t>HH_46</t>
  </si>
  <si>
    <t>HH_47</t>
  </si>
  <si>
    <t>HH_48</t>
  </si>
  <si>
    <t>HH_49</t>
  </si>
  <si>
    <t>HH_50</t>
  </si>
  <si>
    <t>HH_51</t>
  </si>
  <si>
    <t>HH_52</t>
  </si>
  <si>
    <t>HH_53</t>
  </si>
  <si>
    <t>HH_54</t>
  </si>
  <si>
    <t>HH_55</t>
  </si>
  <si>
    <t>HH_56</t>
  </si>
  <si>
    <t>HH_57</t>
  </si>
  <si>
    <t>HH_58</t>
  </si>
  <si>
    <t>HH_59</t>
  </si>
  <si>
    <t>HH_60</t>
  </si>
  <si>
    <t>HH_61</t>
  </si>
  <si>
    <t>HH_62</t>
  </si>
  <si>
    <t>HH_63</t>
  </si>
  <si>
    <t>HH_64</t>
  </si>
  <si>
    <t>HH_65</t>
  </si>
  <si>
    <t>HH_66</t>
  </si>
  <si>
    <t>HH_67</t>
  </si>
  <si>
    <t>HH_68</t>
  </si>
  <si>
    <t>HH_69</t>
  </si>
  <si>
    <t>HH_70</t>
  </si>
  <si>
    <t>HH_71</t>
  </si>
  <si>
    <t>HH_72</t>
  </si>
  <si>
    <t>HH_73</t>
  </si>
  <si>
    <t>HH_74</t>
  </si>
  <si>
    <t>HH_75</t>
  </si>
  <si>
    <t>HH_76</t>
  </si>
  <si>
    <t>HH_77</t>
  </si>
  <si>
    <t>HH_78</t>
  </si>
  <si>
    <t>HH_79</t>
  </si>
  <si>
    <t>HH_80</t>
  </si>
  <si>
    <t>HH_81</t>
  </si>
  <si>
    <t>HH_82</t>
  </si>
  <si>
    <t>HH_83</t>
  </si>
  <si>
    <t>HH_84</t>
  </si>
  <si>
    <t>HH_85</t>
  </si>
  <si>
    <t>HH_86</t>
  </si>
  <si>
    <t>HH_87</t>
  </si>
  <si>
    <t>HH_88</t>
  </si>
  <si>
    <t>HH_89</t>
  </si>
  <si>
    <t>HH_90</t>
  </si>
  <si>
    <t>HH_91</t>
  </si>
  <si>
    <t>HH_92</t>
  </si>
  <si>
    <t>HH_93</t>
  </si>
  <si>
    <t>HH_94</t>
  </si>
  <si>
    <t>HH_95</t>
  </si>
  <si>
    <t>HH_96</t>
  </si>
  <si>
    <t>HH_97</t>
  </si>
  <si>
    <t>HH_98</t>
  </si>
  <si>
    <t>HH_99</t>
  </si>
  <si>
    <t>HH_100</t>
  </si>
  <si>
    <t>HH_101</t>
  </si>
  <si>
    <t>HH_102</t>
  </si>
  <si>
    <t>HH_103</t>
  </si>
  <si>
    <t>HH_104</t>
  </si>
  <si>
    <t>HH_105</t>
  </si>
  <si>
    <t>HH_106</t>
  </si>
  <si>
    <t>HH_107</t>
  </si>
  <si>
    <t>HH_108</t>
  </si>
  <si>
    <t>HH_109</t>
  </si>
  <si>
    <t>HH_110</t>
  </si>
  <si>
    <t>HH_111</t>
  </si>
  <si>
    <t>HH_112</t>
  </si>
  <si>
    <t>HH_113</t>
  </si>
  <si>
    <t>HH_114</t>
  </si>
  <si>
    <t>HH_115</t>
  </si>
  <si>
    <t>HH_116</t>
  </si>
  <si>
    <t>HH_117</t>
  </si>
  <si>
    <t>HH_118</t>
  </si>
  <si>
    <t>HH_119</t>
  </si>
  <si>
    <t>HH_120</t>
  </si>
  <si>
    <t>HH_121</t>
  </si>
  <si>
    <t>HH_122</t>
  </si>
  <si>
    <t>HH_123</t>
  </si>
  <si>
    <t>HH_124</t>
  </si>
  <si>
    <t>HH_125</t>
  </si>
  <si>
    <t>HH_126</t>
  </si>
  <si>
    <t>HH_127</t>
  </si>
  <si>
    <t>HH_128</t>
  </si>
  <si>
    <t>HH_129</t>
  </si>
  <si>
    <t>HH_130</t>
  </si>
  <si>
    <t>HH_131</t>
  </si>
  <si>
    <t>HH_132</t>
  </si>
  <si>
    <t>HH_133</t>
  </si>
  <si>
    <t>HH_134</t>
  </si>
  <si>
    <t>HH_135</t>
  </si>
  <si>
    <t>HH_136</t>
  </si>
  <si>
    <t>HH_137</t>
  </si>
  <si>
    <t>HH_138</t>
  </si>
  <si>
    <t>HH_139</t>
  </si>
  <si>
    <t>HH_140</t>
  </si>
  <si>
    <t>HH_141</t>
  </si>
  <si>
    <t>HH_142</t>
  </si>
  <si>
    <t>HH_143</t>
  </si>
  <si>
    <t>HH_144</t>
  </si>
  <si>
    <t>HH_145</t>
  </si>
  <si>
    <t>HH_146</t>
  </si>
  <si>
    <t>HH_147</t>
  </si>
  <si>
    <t>HH_148</t>
  </si>
  <si>
    <t>HH_149</t>
  </si>
  <si>
    <t>HH_150</t>
  </si>
  <si>
    <t>HH_151</t>
  </si>
  <si>
    <t>HH_152</t>
  </si>
  <si>
    <t>HH_153</t>
  </si>
  <si>
    <t>HH_154</t>
  </si>
  <si>
    <t>HH_155</t>
  </si>
  <si>
    <t>HH_156</t>
  </si>
  <si>
    <t>HH_157</t>
  </si>
  <si>
    <t>HH_158</t>
  </si>
  <si>
    <t>HH_159</t>
  </si>
  <si>
    <t>HH_160</t>
  </si>
  <si>
    <t>HH_161</t>
  </si>
  <si>
    <t>HH_162</t>
  </si>
  <si>
    <t>HH_163</t>
  </si>
  <si>
    <t>HH_164</t>
  </si>
  <si>
    <t>HH_165</t>
  </si>
  <si>
    <t>HH_166</t>
  </si>
  <si>
    <t>HH_167</t>
  </si>
  <si>
    <t>HH_168</t>
  </si>
  <si>
    <t>HH_169</t>
  </si>
  <si>
    <t>HH_170</t>
  </si>
  <si>
    <t>HH_171</t>
  </si>
  <si>
    <t>HH_172</t>
  </si>
  <si>
    <t>HH_173</t>
  </si>
  <si>
    <t>HH_174</t>
  </si>
  <si>
    <t>HH_175</t>
  </si>
  <si>
    <t>HH_176</t>
  </si>
  <si>
    <t>HH_177</t>
  </si>
  <si>
    <t>HH_178</t>
  </si>
  <si>
    <t>HH_179</t>
  </si>
  <si>
    <t>HH_180</t>
  </si>
  <si>
    <t>Post-Grad</t>
  </si>
  <si>
    <t>Secondary</t>
  </si>
  <si>
    <t>Graduate</t>
  </si>
  <si>
    <t>Primary</t>
  </si>
  <si>
    <t>Yes</t>
  </si>
  <si>
    <t>No</t>
  </si>
  <si>
    <t>Rural</t>
  </si>
  <si>
    <t>Urban</t>
  </si>
  <si>
    <t>AVERAGE</t>
  </si>
  <si>
    <t>MEDIAN</t>
  </si>
  <si>
    <t>RANGE</t>
  </si>
  <si>
    <t>VARIANCE</t>
  </si>
  <si>
    <t>STANDARD DEVIATION</t>
  </si>
  <si>
    <t>IQR</t>
  </si>
  <si>
    <t>Q1</t>
  </si>
  <si>
    <t>Q2</t>
  </si>
  <si>
    <t>Q3</t>
  </si>
  <si>
    <t>SKEWNESS &amp; KURTOSIS</t>
  </si>
  <si>
    <t>SKEWNESS</t>
  </si>
  <si>
    <t>KURTOSIS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</si>
</sst>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3" fillId="2" borderId="1" xfId="0" applyFont="1" applyFill="1" applyBorder="1"/>
    <xf numFmtId="0" fontId="0" fillId="3" borderId="1" xfId="0" applyFill="1" applyBorder="1"/>
    <xf numFmtId="0" fontId="3" fillId="2" borderId="1" xfId="0" applyFont="1" applyFill="1" applyBorder="1" applyAlignment="1"/>
    <xf numFmtId="0" fontId="0" fillId="2" borderId="1" xfId="0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1"/>
  <sheetViews>
    <sheetView tabSelected="1" workbookViewId="0">
      <selection activeCell="M31" sqref="M31"/>
    </sheetView>
  </sheetViews>
  <sheetFormatPr defaultRowHeight="14.4" x14ac:dyDescent="0.3"/>
  <cols>
    <col min="1" max="1" width="15.44140625" customWidth="1"/>
    <col min="2" max="2" width="23.21875" customWidth="1"/>
    <col min="3" max="3" width="22.21875" customWidth="1"/>
    <col min="4" max="4" width="19" customWidth="1"/>
    <col min="5" max="5" width="16.44140625" customWidth="1"/>
    <col min="6" max="6" width="13.77734375" customWidth="1"/>
    <col min="7" max="7" width="13.5546875" customWidth="1"/>
    <col min="8" max="8" width="7.33203125" customWidth="1"/>
    <col min="9" max="9" width="11.44140625" customWidth="1"/>
    <col min="10" max="10" width="12.109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9" ht="18" x14ac:dyDescent="0.35">
      <c r="A2" s="2" t="s">
        <v>7</v>
      </c>
      <c r="B2" s="2">
        <v>59</v>
      </c>
      <c r="C2" s="2">
        <v>59262</v>
      </c>
      <c r="D2" s="2" t="s">
        <v>187</v>
      </c>
      <c r="E2" s="2">
        <v>5</v>
      </c>
      <c r="F2" s="2" t="s">
        <v>191</v>
      </c>
      <c r="G2" s="2" t="s">
        <v>193</v>
      </c>
      <c r="I2" s="3" t="s">
        <v>195</v>
      </c>
    </row>
    <row r="3" spans="1:9" x14ac:dyDescent="0.3">
      <c r="A3" s="2" t="s">
        <v>8</v>
      </c>
      <c r="B3" s="2">
        <v>49</v>
      </c>
      <c r="C3" s="2">
        <v>140117</v>
      </c>
      <c r="D3" s="2" t="s">
        <v>188</v>
      </c>
      <c r="E3" s="2">
        <v>2</v>
      </c>
      <c r="F3" s="2" t="s">
        <v>191</v>
      </c>
      <c r="G3" s="2" t="s">
        <v>194</v>
      </c>
      <c r="I3" s="4">
        <f>AVERAGE(C2:C181)</f>
        <v>87033.65</v>
      </c>
    </row>
    <row r="4" spans="1:9" x14ac:dyDescent="0.3">
      <c r="A4" s="2" t="s">
        <v>9</v>
      </c>
      <c r="B4" s="2">
        <v>35</v>
      </c>
      <c r="C4" s="2">
        <v>38776</v>
      </c>
      <c r="D4" s="2" t="s">
        <v>188</v>
      </c>
      <c r="E4" s="2">
        <v>5</v>
      </c>
      <c r="F4" s="2" t="s">
        <v>192</v>
      </c>
      <c r="G4" s="2" t="s">
        <v>193</v>
      </c>
    </row>
    <row r="5" spans="1:9" x14ac:dyDescent="0.3">
      <c r="A5" s="2" t="s">
        <v>10</v>
      </c>
      <c r="B5" s="2">
        <v>63</v>
      </c>
      <c r="C5" s="2">
        <v>143376</v>
      </c>
      <c r="D5" s="2" t="s">
        <v>189</v>
      </c>
      <c r="E5" s="2">
        <v>3</v>
      </c>
      <c r="F5" s="2" t="s">
        <v>191</v>
      </c>
      <c r="G5" s="2" t="s">
        <v>194</v>
      </c>
    </row>
    <row r="6" spans="1:9" ht="18" x14ac:dyDescent="0.35">
      <c r="A6" s="2" t="s">
        <v>11</v>
      </c>
      <c r="B6" s="2">
        <v>28</v>
      </c>
      <c r="C6" s="2">
        <v>107787</v>
      </c>
      <c r="D6" s="2" t="s">
        <v>188</v>
      </c>
      <c r="E6" s="2">
        <v>5</v>
      </c>
      <c r="F6" s="2" t="s">
        <v>191</v>
      </c>
      <c r="G6" s="2" t="s">
        <v>193</v>
      </c>
      <c r="I6" s="3" t="s">
        <v>196</v>
      </c>
    </row>
    <row r="7" spans="1:9" x14ac:dyDescent="0.3">
      <c r="A7" s="2" t="s">
        <v>12</v>
      </c>
      <c r="B7" s="2">
        <v>41</v>
      </c>
      <c r="C7" s="2">
        <v>142948</v>
      </c>
      <c r="D7" s="2" t="s">
        <v>189</v>
      </c>
      <c r="E7" s="2">
        <v>4</v>
      </c>
      <c r="F7" s="2" t="s">
        <v>191</v>
      </c>
      <c r="G7" s="2" t="s">
        <v>193</v>
      </c>
      <c r="I7" s="4">
        <f>MEDIAN(C2:C181)</f>
        <v>87143</v>
      </c>
    </row>
    <row r="8" spans="1:9" x14ac:dyDescent="0.3">
      <c r="A8" s="2" t="s">
        <v>13</v>
      </c>
      <c r="B8" s="2">
        <v>59</v>
      </c>
      <c r="C8" s="2">
        <v>70016</v>
      </c>
      <c r="D8" s="2" t="s">
        <v>187</v>
      </c>
      <c r="E8" s="2">
        <v>1</v>
      </c>
      <c r="F8" s="2" t="s">
        <v>191</v>
      </c>
      <c r="G8" s="2" t="s">
        <v>194</v>
      </c>
    </row>
    <row r="9" spans="1:9" x14ac:dyDescent="0.3">
      <c r="A9" s="2" t="s">
        <v>14</v>
      </c>
      <c r="B9" s="2">
        <v>39</v>
      </c>
      <c r="C9" s="2">
        <v>36959</v>
      </c>
      <c r="D9" s="2" t="s">
        <v>190</v>
      </c>
      <c r="E9" s="2">
        <v>5</v>
      </c>
      <c r="F9" s="2" t="s">
        <v>192</v>
      </c>
      <c r="G9" s="2" t="s">
        <v>193</v>
      </c>
    </row>
    <row r="10" spans="1:9" ht="18" x14ac:dyDescent="0.35">
      <c r="A10" s="2" t="s">
        <v>15</v>
      </c>
      <c r="B10" s="2">
        <v>43</v>
      </c>
      <c r="C10" s="2">
        <v>134101</v>
      </c>
      <c r="D10" s="2" t="s">
        <v>190</v>
      </c>
      <c r="E10" s="2">
        <v>5</v>
      </c>
      <c r="F10" s="2" t="s">
        <v>192</v>
      </c>
      <c r="G10" s="2" t="s">
        <v>194</v>
      </c>
      <c r="I10" s="3" t="s">
        <v>197</v>
      </c>
    </row>
    <row r="11" spans="1:9" x14ac:dyDescent="0.3">
      <c r="A11" s="2" t="s">
        <v>16</v>
      </c>
      <c r="B11" s="2">
        <v>31</v>
      </c>
      <c r="C11" s="2">
        <v>18748</v>
      </c>
      <c r="D11" s="2" t="s">
        <v>187</v>
      </c>
      <c r="E11" s="2">
        <v>1</v>
      </c>
      <c r="F11" s="2" t="s">
        <v>191</v>
      </c>
      <c r="G11" s="2" t="s">
        <v>194</v>
      </c>
      <c r="I11" s="4">
        <f>MAX(C2:C181)-MIN(C2:C181)</f>
        <v>132140</v>
      </c>
    </row>
    <row r="12" spans="1:9" x14ac:dyDescent="0.3">
      <c r="A12" s="2" t="s">
        <v>17</v>
      </c>
      <c r="B12" s="2">
        <v>31</v>
      </c>
      <c r="C12" s="2">
        <v>28545</v>
      </c>
      <c r="D12" s="2" t="s">
        <v>190</v>
      </c>
      <c r="E12" s="2">
        <v>4</v>
      </c>
      <c r="F12" s="2" t="s">
        <v>192</v>
      </c>
      <c r="G12" s="2" t="s">
        <v>194</v>
      </c>
    </row>
    <row r="13" spans="1:9" x14ac:dyDescent="0.3">
      <c r="A13" s="2" t="s">
        <v>18</v>
      </c>
      <c r="B13" s="2">
        <v>44</v>
      </c>
      <c r="C13" s="2">
        <v>142659</v>
      </c>
      <c r="D13" s="2" t="s">
        <v>187</v>
      </c>
      <c r="E13" s="2">
        <v>2</v>
      </c>
      <c r="F13" s="2" t="s">
        <v>191</v>
      </c>
      <c r="G13" s="2" t="s">
        <v>194</v>
      </c>
    </row>
    <row r="14" spans="1:9" ht="18" x14ac:dyDescent="0.35">
      <c r="A14" s="2" t="s">
        <v>19</v>
      </c>
      <c r="B14" s="2">
        <v>56</v>
      </c>
      <c r="C14" s="2">
        <v>88530</v>
      </c>
      <c r="D14" s="2" t="s">
        <v>187</v>
      </c>
      <c r="E14" s="2">
        <v>5</v>
      </c>
      <c r="F14" s="2" t="s">
        <v>191</v>
      </c>
      <c r="G14" s="2" t="s">
        <v>193</v>
      </c>
      <c r="I14" s="3" t="s">
        <v>198</v>
      </c>
    </row>
    <row r="15" spans="1:9" x14ac:dyDescent="0.3">
      <c r="A15" s="2" t="s">
        <v>20</v>
      </c>
      <c r="B15" s="2">
        <v>60</v>
      </c>
      <c r="C15" s="2">
        <v>108557</v>
      </c>
      <c r="D15" s="2" t="s">
        <v>187</v>
      </c>
      <c r="E15" s="2">
        <v>1</v>
      </c>
      <c r="F15" s="2" t="s">
        <v>191</v>
      </c>
      <c r="G15" s="2" t="s">
        <v>193</v>
      </c>
      <c r="I15" s="4">
        <f>_xlfn.VAR.S(C2:C181)</f>
        <v>1714067077.949441</v>
      </c>
    </row>
    <row r="16" spans="1:9" x14ac:dyDescent="0.3">
      <c r="A16" s="2" t="s">
        <v>21</v>
      </c>
      <c r="B16" s="2">
        <v>44</v>
      </c>
      <c r="C16" s="2">
        <v>76087</v>
      </c>
      <c r="D16" s="2" t="s">
        <v>190</v>
      </c>
      <c r="E16" s="2">
        <v>3</v>
      </c>
      <c r="F16" s="2" t="s">
        <v>192</v>
      </c>
      <c r="G16" s="2" t="s">
        <v>193</v>
      </c>
    </row>
    <row r="17" spans="1:12" x14ac:dyDescent="0.3">
      <c r="A17" s="2" t="s">
        <v>22</v>
      </c>
      <c r="B17" s="2">
        <v>23</v>
      </c>
      <c r="C17" s="2">
        <v>83840</v>
      </c>
      <c r="D17" s="2" t="s">
        <v>189</v>
      </c>
      <c r="E17" s="2">
        <v>1</v>
      </c>
      <c r="F17" s="2" t="s">
        <v>192</v>
      </c>
      <c r="G17" s="2" t="s">
        <v>194</v>
      </c>
    </row>
    <row r="18" spans="1:12" ht="18" x14ac:dyDescent="0.35">
      <c r="A18" s="2" t="s">
        <v>23</v>
      </c>
      <c r="B18" s="2">
        <v>42</v>
      </c>
      <c r="C18" s="2">
        <v>133451</v>
      </c>
      <c r="D18" s="2" t="s">
        <v>187</v>
      </c>
      <c r="E18" s="2">
        <v>3</v>
      </c>
      <c r="F18" s="2" t="s">
        <v>192</v>
      </c>
      <c r="G18" s="2" t="s">
        <v>193</v>
      </c>
      <c r="I18" s="5" t="s">
        <v>199</v>
      </c>
      <c r="J18" s="6"/>
      <c r="K18" s="6"/>
    </row>
    <row r="19" spans="1:12" x14ac:dyDescent="0.3">
      <c r="A19" s="2" t="s">
        <v>24</v>
      </c>
      <c r="B19" s="2">
        <v>22</v>
      </c>
      <c r="C19" s="2">
        <v>66005</v>
      </c>
      <c r="D19" s="2" t="s">
        <v>188</v>
      </c>
      <c r="E19" s="2">
        <v>4</v>
      </c>
      <c r="F19" s="2" t="s">
        <v>192</v>
      </c>
      <c r="G19" s="2" t="s">
        <v>194</v>
      </c>
      <c r="I19" s="4">
        <f>_xlfn.STDEV.S(C2:C181)</f>
        <v>41401.293191752367</v>
      </c>
    </row>
    <row r="20" spans="1:12" x14ac:dyDescent="0.3">
      <c r="A20" s="2" t="s">
        <v>25</v>
      </c>
      <c r="B20" s="2">
        <v>44</v>
      </c>
      <c r="C20" s="2">
        <v>54353</v>
      </c>
      <c r="D20" s="2" t="s">
        <v>190</v>
      </c>
      <c r="E20" s="2">
        <v>2</v>
      </c>
      <c r="F20" s="2" t="s">
        <v>192</v>
      </c>
      <c r="G20" s="2" t="s">
        <v>193</v>
      </c>
    </row>
    <row r="21" spans="1:12" x14ac:dyDescent="0.3">
      <c r="A21" s="2" t="s">
        <v>26</v>
      </c>
      <c r="B21" s="2">
        <v>64</v>
      </c>
      <c r="C21" s="2">
        <v>67733</v>
      </c>
      <c r="D21" s="2" t="s">
        <v>187</v>
      </c>
      <c r="E21" s="2">
        <v>1</v>
      </c>
      <c r="F21" s="2" t="s">
        <v>192</v>
      </c>
      <c r="G21" s="2" t="s">
        <v>193</v>
      </c>
    </row>
    <row r="22" spans="1:12" ht="18" x14ac:dyDescent="0.35">
      <c r="A22" s="2" t="s">
        <v>27</v>
      </c>
      <c r="B22" s="2">
        <v>50</v>
      </c>
      <c r="C22" s="2">
        <v>80318</v>
      </c>
      <c r="D22" s="2" t="s">
        <v>187</v>
      </c>
      <c r="E22" s="2">
        <v>7</v>
      </c>
      <c r="F22" s="2" t="s">
        <v>192</v>
      </c>
      <c r="G22" s="2" t="s">
        <v>193</v>
      </c>
      <c r="I22" s="3" t="s">
        <v>201</v>
      </c>
      <c r="J22" s="3" t="s">
        <v>202</v>
      </c>
      <c r="K22" s="3" t="s">
        <v>203</v>
      </c>
      <c r="L22" s="3" t="s">
        <v>200</v>
      </c>
    </row>
    <row r="23" spans="1:12" x14ac:dyDescent="0.3">
      <c r="A23" s="2" t="s">
        <v>28</v>
      </c>
      <c r="B23" s="2">
        <v>58</v>
      </c>
      <c r="C23" s="2">
        <v>82172</v>
      </c>
      <c r="D23" s="2" t="s">
        <v>188</v>
      </c>
      <c r="E23" s="2">
        <v>7</v>
      </c>
      <c r="F23" s="2" t="s">
        <v>192</v>
      </c>
      <c r="G23" s="2" t="s">
        <v>194</v>
      </c>
      <c r="I23" s="4">
        <f>QUARTILE(C2:C181,1)</f>
        <v>50521.25</v>
      </c>
      <c r="J23" s="4">
        <f>QUARTILE(C2:C181,2)</f>
        <v>87143</v>
      </c>
      <c r="K23" s="4">
        <f>QUARTILE(C2:C181,3)</f>
        <v>125838.25</v>
      </c>
      <c r="L23" s="4">
        <f>K23-I23</f>
        <v>75317</v>
      </c>
    </row>
    <row r="24" spans="1:12" x14ac:dyDescent="0.3">
      <c r="A24" s="2" t="s">
        <v>29</v>
      </c>
      <c r="B24" s="2">
        <v>22</v>
      </c>
      <c r="C24" s="2">
        <v>108264</v>
      </c>
      <c r="D24" s="2" t="s">
        <v>189</v>
      </c>
      <c r="E24" s="2">
        <v>6</v>
      </c>
      <c r="F24" s="2" t="s">
        <v>192</v>
      </c>
      <c r="G24" s="2" t="s">
        <v>193</v>
      </c>
    </row>
    <row r="25" spans="1:12" x14ac:dyDescent="0.3">
      <c r="A25" s="2" t="s">
        <v>30</v>
      </c>
      <c r="B25" s="2">
        <v>41</v>
      </c>
      <c r="C25" s="2">
        <v>41736</v>
      </c>
      <c r="D25" s="2" t="s">
        <v>189</v>
      </c>
      <c r="E25" s="2">
        <v>5</v>
      </c>
      <c r="F25" s="2" t="s">
        <v>191</v>
      </c>
      <c r="G25" s="2" t="s">
        <v>193</v>
      </c>
    </row>
    <row r="26" spans="1:12" ht="18" x14ac:dyDescent="0.35">
      <c r="A26" s="2" t="s">
        <v>31</v>
      </c>
      <c r="B26" s="2">
        <v>53</v>
      </c>
      <c r="C26" s="2">
        <v>127859</v>
      </c>
      <c r="D26" s="2" t="s">
        <v>189</v>
      </c>
      <c r="E26" s="2">
        <v>4</v>
      </c>
      <c r="F26" s="2" t="s">
        <v>192</v>
      </c>
      <c r="G26" s="2" t="s">
        <v>194</v>
      </c>
      <c r="J26" s="3" t="s">
        <v>204</v>
      </c>
      <c r="K26" s="6"/>
      <c r="L26" s="6"/>
    </row>
    <row r="27" spans="1:12" ht="15.6" x14ac:dyDescent="0.3">
      <c r="A27" s="2" t="s">
        <v>32</v>
      </c>
      <c r="B27" s="2">
        <v>32</v>
      </c>
      <c r="C27" s="2">
        <v>127181</v>
      </c>
      <c r="D27" s="2" t="s">
        <v>187</v>
      </c>
      <c r="E27" s="2">
        <v>1</v>
      </c>
      <c r="F27" s="2" t="s">
        <v>192</v>
      </c>
      <c r="G27" s="2" t="s">
        <v>193</v>
      </c>
      <c r="I27" s="7" t="s">
        <v>205</v>
      </c>
      <c r="J27" s="4">
        <f>SKEW(C2:C181)</f>
        <v>-0.12176426506615103</v>
      </c>
    </row>
    <row r="28" spans="1:12" ht="15.6" x14ac:dyDescent="0.3">
      <c r="A28" s="2" t="s">
        <v>33</v>
      </c>
      <c r="B28" s="2">
        <v>42</v>
      </c>
      <c r="C28" s="2">
        <v>146926</v>
      </c>
      <c r="D28" s="2" t="s">
        <v>187</v>
      </c>
      <c r="E28" s="2">
        <v>7</v>
      </c>
      <c r="F28" s="2" t="s">
        <v>192</v>
      </c>
      <c r="G28" s="2" t="s">
        <v>194</v>
      </c>
      <c r="I28" s="7" t="s">
        <v>206</v>
      </c>
      <c r="J28" s="4">
        <f>KURT(C2:C181)</f>
        <v>-1.3453215738834545</v>
      </c>
    </row>
    <row r="29" spans="1:12" x14ac:dyDescent="0.3">
      <c r="A29" s="2" t="s">
        <v>34</v>
      </c>
      <c r="B29" s="2">
        <v>64</v>
      </c>
      <c r="C29" s="2">
        <v>105084</v>
      </c>
      <c r="D29" s="2" t="s">
        <v>187</v>
      </c>
      <c r="E29" s="2">
        <v>5</v>
      </c>
      <c r="F29" s="2" t="s">
        <v>192</v>
      </c>
      <c r="G29" s="2" t="s">
        <v>193</v>
      </c>
    </row>
    <row r="30" spans="1:12" x14ac:dyDescent="0.3">
      <c r="A30" s="2" t="s">
        <v>35</v>
      </c>
      <c r="B30" s="2">
        <v>45</v>
      </c>
      <c r="C30" s="2">
        <v>22392</v>
      </c>
      <c r="D30" s="2" t="s">
        <v>190</v>
      </c>
      <c r="E30" s="2">
        <v>7</v>
      </c>
      <c r="F30" s="2" t="s">
        <v>192</v>
      </c>
      <c r="G30" s="2" t="s">
        <v>194</v>
      </c>
    </row>
    <row r="31" spans="1:12" x14ac:dyDescent="0.3">
      <c r="A31" s="2" t="s">
        <v>36</v>
      </c>
      <c r="B31" s="2">
        <v>69</v>
      </c>
      <c r="C31" s="2">
        <v>70680</v>
      </c>
      <c r="D31" s="2" t="s">
        <v>188</v>
      </c>
      <c r="E31" s="2">
        <v>1</v>
      </c>
      <c r="F31" s="2" t="s">
        <v>192</v>
      </c>
      <c r="G31" s="2" t="s">
        <v>194</v>
      </c>
    </row>
    <row r="32" spans="1:12" x14ac:dyDescent="0.3">
      <c r="A32" s="2" t="s">
        <v>37</v>
      </c>
      <c r="B32" s="2">
        <v>47</v>
      </c>
      <c r="C32" s="2">
        <v>65859</v>
      </c>
      <c r="D32" s="2" t="s">
        <v>187</v>
      </c>
      <c r="E32" s="2">
        <v>3</v>
      </c>
      <c r="F32" s="2" t="s">
        <v>192</v>
      </c>
      <c r="G32" s="2" t="s">
        <v>193</v>
      </c>
    </row>
    <row r="33" spans="1:7" x14ac:dyDescent="0.3">
      <c r="A33" s="2" t="s">
        <v>38</v>
      </c>
      <c r="B33" s="2">
        <v>62</v>
      </c>
      <c r="C33" s="2">
        <v>140657</v>
      </c>
      <c r="D33" s="2" t="s">
        <v>188</v>
      </c>
      <c r="E33" s="2">
        <v>1</v>
      </c>
      <c r="F33" s="2" t="s">
        <v>192</v>
      </c>
      <c r="G33" s="2" t="s">
        <v>194</v>
      </c>
    </row>
    <row r="34" spans="1:7" x14ac:dyDescent="0.3">
      <c r="A34" s="2" t="s">
        <v>39</v>
      </c>
      <c r="B34" s="2">
        <v>48</v>
      </c>
      <c r="C34" s="2">
        <v>85467</v>
      </c>
      <c r="D34" s="2" t="s">
        <v>188</v>
      </c>
      <c r="E34" s="2">
        <v>6</v>
      </c>
      <c r="F34" s="2" t="s">
        <v>192</v>
      </c>
      <c r="G34" s="2" t="s">
        <v>194</v>
      </c>
    </row>
    <row r="35" spans="1:7" x14ac:dyDescent="0.3">
      <c r="A35" s="2" t="s">
        <v>40</v>
      </c>
      <c r="B35" s="2">
        <v>36</v>
      </c>
      <c r="C35" s="2">
        <v>113506</v>
      </c>
      <c r="D35" s="2" t="s">
        <v>189</v>
      </c>
      <c r="E35" s="2">
        <v>1</v>
      </c>
      <c r="F35" s="2" t="s">
        <v>192</v>
      </c>
      <c r="G35" s="2" t="s">
        <v>194</v>
      </c>
    </row>
    <row r="36" spans="1:7" x14ac:dyDescent="0.3">
      <c r="A36" s="2" t="s">
        <v>41</v>
      </c>
      <c r="B36" s="2">
        <v>35</v>
      </c>
      <c r="C36" s="2">
        <v>124751</v>
      </c>
      <c r="D36" s="2" t="s">
        <v>190</v>
      </c>
      <c r="E36" s="2">
        <v>1</v>
      </c>
      <c r="F36" s="2" t="s">
        <v>192</v>
      </c>
      <c r="G36" s="2" t="s">
        <v>194</v>
      </c>
    </row>
    <row r="37" spans="1:7" x14ac:dyDescent="0.3">
      <c r="A37" s="2" t="s">
        <v>42</v>
      </c>
      <c r="B37" s="2">
        <v>67</v>
      </c>
      <c r="C37" s="2">
        <v>133906</v>
      </c>
      <c r="D37" s="2" t="s">
        <v>187</v>
      </c>
      <c r="E37" s="2">
        <v>6</v>
      </c>
      <c r="F37" s="2" t="s">
        <v>191</v>
      </c>
      <c r="G37" s="2" t="s">
        <v>194</v>
      </c>
    </row>
    <row r="38" spans="1:7" x14ac:dyDescent="0.3">
      <c r="A38" s="2" t="s">
        <v>43</v>
      </c>
      <c r="B38" s="2">
        <v>64</v>
      </c>
      <c r="C38" s="2">
        <v>40342</v>
      </c>
      <c r="D38" s="2" t="s">
        <v>189</v>
      </c>
      <c r="E38" s="2">
        <v>4</v>
      </c>
      <c r="F38" s="2" t="s">
        <v>191</v>
      </c>
      <c r="G38" s="2" t="s">
        <v>194</v>
      </c>
    </row>
    <row r="39" spans="1:7" x14ac:dyDescent="0.3">
      <c r="A39" s="2" t="s">
        <v>44</v>
      </c>
      <c r="B39" s="2">
        <v>23</v>
      </c>
      <c r="C39" s="2">
        <v>121308</v>
      </c>
      <c r="D39" s="2" t="s">
        <v>189</v>
      </c>
      <c r="E39" s="2">
        <v>1</v>
      </c>
      <c r="F39" s="2" t="s">
        <v>192</v>
      </c>
      <c r="G39" s="2" t="s">
        <v>193</v>
      </c>
    </row>
    <row r="40" spans="1:7" x14ac:dyDescent="0.3">
      <c r="A40" s="2" t="s">
        <v>45</v>
      </c>
      <c r="B40" s="2">
        <v>57</v>
      </c>
      <c r="C40" s="2">
        <v>121081</v>
      </c>
      <c r="D40" s="2" t="s">
        <v>187</v>
      </c>
      <c r="E40" s="2">
        <v>6</v>
      </c>
      <c r="F40" s="2" t="s">
        <v>192</v>
      </c>
      <c r="G40" s="2" t="s">
        <v>194</v>
      </c>
    </row>
    <row r="41" spans="1:7" x14ac:dyDescent="0.3">
      <c r="A41" s="2" t="s">
        <v>46</v>
      </c>
      <c r="B41" s="2">
        <v>27</v>
      </c>
      <c r="C41" s="2">
        <v>104045</v>
      </c>
      <c r="D41" s="2" t="s">
        <v>188</v>
      </c>
      <c r="E41" s="2">
        <v>5</v>
      </c>
      <c r="F41" s="2" t="s">
        <v>191</v>
      </c>
      <c r="G41" s="2" t="s">
        <v>194</v>
      </c>
    </row>
    <row r="42" spans="1:7" x14ac:dyDescent="0.3">
      <c r="A42" s="2" t="s">
        <v>47</v>
      </c>
      <c r="B42" s="2">
        <v>41</v>
      </c>
      <c r="C42" s="2">
        <v>49698</v>
      </c>
      <c r="D42" s="2" t="s">
        <v>189</v>
      </c>
      <c r="E42" s="2">
        <v>3</v>
      </c>
      <c r="F42" s="2" t="s">
        <v>192</v>
      </c>
      <c r="G42" s="2" t="s">
        <v>193</v>
      </c>
    </row>
    <row r="43" spans="1:7" x14ac:dyDescent="0.3">
      <c r="A43" s="2" t="s">
        <v>48</v>
      </c>
      <c r="B43" s="2">
        <v>29</v>
      </c>
      <c r="C43" s="2">
        <v>125078</v>
      </c>
      <c r="D43" s="2" t="s">
        <v>188</v>
      </c>
      <c r="E43" s="2">
        <v>3</v>
      </c>
      <c r="F43" s="2" t="s">
        <v>191</v>
      </c>
      <c r="G43" s="2" t="s">
        <v>193</v>
      </c>
    </row>
    <row r="44" spans="1:7" x14ac:dyDescent="0.3">
      <c r="A44" s="2" t="s">
        <v>49</v>
      </c>
      <c r="B44" s="2">
        <v>59</v>
      </c>
      <c r="C44" s="2">
        <v>95623</v>
      </c>
      <c r="D44" s="2" t="s">
        <v>190</v>
      </c>
      <c r="E44" s="2">
        <v>1</v>
      </c>
      <c r="F44" s="2" t="s">
        <v>191</v>
      </c>
      <c r="G44" s="2" t="s">
        <v>193</v>
      </c>
    </row>
    <row r="45" spans="1:7" x14ac:dyDescent="0.3">
      <c r="A45" s="2" t="s">
        <v>50</v>
      </c>
      <c r="B45" s="2">
        <v>38</v>
      </c>
      <c r="C45" s="2">
        <v>37671</v>
      </c>
      <c r="D45" s="2" t="s">
        <v>188</v>
      </c>
      <c r="E45" s="2">
        <v>4</v>
      </c>
      <c r="F45" s="2" t="s">
        <v>191</v>
      </c>
      <c r="G45" s="2" t="s">
        <v>193</v>
      </c>
    </row>
    <row r="46" spans="1:7" x14ac:dyDescent="0.3">
      <c r="A46" s="2" t="s">
        <v>51</v>
      </c>
      <c r="B46" s="2">
        <v>24</v>
      </c>
      <c r="C46" s="2">
        <v>108384</v>
      </c>
      <c r="D46" s="2" t="s">
        <v>190</v>
      </c>
      <c r="E46" s="2">
        <v>4</v>
      </c>
      <c r="F46" s="2" t="s">
        <v>191</v>
      </c>
      <c r="G46" s="2" t="s">
        <v>193</v>
      </c>
    </row>
    <row r="47" spans="1:7" x14ac:dyDescent="0.3">
      <c r="A47" s="2" t="s">
        <v>52</v>
      </c>
      <c r="B47" s="2">
        <v>45</v>
      </c>
      <c r="C47" s="2">
        <v>101202</v>
      </c>
      <c r="D47" s="2" t="s">
        <v>188</v>
      </c>
      <c r="E47" s="2">
        <v>5</v>
      </c>
      <c r="F47" s="2" t="s">
        <v>191</v>
      </c>
      <c r="G47" s="2" t="s">
        <v>193</v>
      </c>
    </row>
    <row r="48" spans="1:7" x14ac:dyDescent="0.3">
      <c r="A48" s="2" t="s">
        <v>53</v>
      </c>
      <c r="B48" s="2">
        <v>34</v>
      </c>
      <c r="C48" s="2">
        <v>66663</v>
      </c>
      <c r="D48" s="2" t="s">
        <v>189</v>
      </c>
      <c r="E48" s="2">
        <v>1</v>
      </c>
      <c r="F48" s="2" t="s">
        <v>192</v>
      </c>
      <c r="G48" s="2" t="s">
        <v>193</v>
      </c>
    </row>
    <row r="49" spans="1:7" x14ac:dyDescent="0.3">
      <c r="A49" s="2" t="s">
        <v>54</v>
      </c>
      <c r="B49" s="2">
        <v>29</v>
      </c>
      <c r="C49" s="2">
        <v>30708</v>
      </c>
      <c r="D49" s="2" t="s">
        <v>189</v>
      </c>
      <c r="E49" s="2">
        <v>3</v>
      </c>
      <c r="F49" s="2" t="s">
        <v>191</v>
      </c>
      <c r="G49" s="2" t="s">
        <v>194</v>
      </c>
    </row>
    <row r="50" spans="1:7" x14ac:dyDescent="0.3">
      <c r="A50" s="2" t="s">
        <v>55</v>
      </c>
      <c r="B50" s="2">
        <v>46</v>
      </c>
      <c r="C50" s="2">
        <v>106906</v>
      </c>
      <c r="D50" s="2" t="s">
        <v>190</v>
      </c>
      <c r="E50" s="2">
        <v>4</v>
      </c>
      <c r="F50" s="2" t="s">
        <v>192</v>
      </c>
      <c r="G50" s="2" t="s">
        <v>194</v>
      </c>
    </row>
    <row r="51" spans="1:7" x14ac:dyDescent="0.3">
      <c r="A51" s="2" t="s">
        <v>56</v>
      </c>
      <c r="B51" s="2">
        <v>22</v>
      </c>
      <c r="C51" s="2">
        <v>64811</v>
      </c>
      <c r="D51" s="2" t="s">
        <v>187</v>
      </c>
      <c r="E51" s="2">
        <v>1</v>
      </c>
      <c r="F51" s="2" t="s">
        <v>192</v>
      </c>
      <c r="G51" s="2" t="s">
        <v>193</v>
      </c>
    </row>
    <row r="52" spans="1:7" x14ac:dyDescent="0.3">
      <c r="A52" s="2" t="s">
        <v>57</v>
      </c>
      <c r="B52" s="2">
        <v>40</v>
      </c>
      <c r="C52" s="2">
        <v>148883</v>
      </c>
      <c r="D52" s="2" t="s">
        <v>190</v>
      </c>
      <c r="E52" s="2">
        <v>7</v>
      </c>
      <c r="F52" s="2" t="s">
        <v>191</v>
      </c>
      <c r="G52" s="2" t="s">
        <v>194</v>
      </c>
    </row>
    <row r="53" spans="1:7" x14ac:dyDescent="0.3">
      <c r="A53" s="2" t="s">
        <v>58</v>
      </c>
      <c r="B53" s="2">
        <v>48</v>
      </c>
      <c r="C53" s="2">
        <v>71250</v>
      </c>
      <c r="D53" s="2" t="s">
        <v>190</v>
      </c>
      <c r="E53" s="2">
        <v>4</v>
      </c>
      <c r="F53" s="2" t="s">
        <v>191</v>
      </c>
      <c r="G53" s="2" t="s">
        <v>194</v>
      </c>
    </row>
    <row r="54" spans="1:7" x14ac:dyDescent="0.3">
      <c r="A54" s="2" t="s">
        <v>59</v>
      </c>
      <c r="B54" s="2">
        <v>67</v>
      </c>
      <c r="C54" s="2">
        <v>127547</v>
      </c>
      <c r="D54" s="2" t="s">
        <v>188</v>
      </c>
      <c r="E54" s="2">
        <v>6</v>
      </c>
      <c r="F54" s="2" t="s">
        <v>192</v>
      </c>
      <c r="G54" s="2" t="s">
        <v>194</v>
      </c>
    </row>
    <row r="55" spans="1:7" x14ac:dyDescent="0.3">
      <c r="A55" s="2" t="s">
        <v>60</v>
      </c>
      <c r="B55" s="2">
        <v>27</v>
      </c>
      <c r="C55" s="2">
        <v>139249</v>
      </c>
      <c r="D55" s="2" t="s">
        <v>188</v>
      </c>
      <c r="E55" s="2">
        <v>7</v>
      </c>
      <c r="F55" s="2" t="s">
        <v>191</v>
      </c>
      <c r="G55" s="2" t="s">
        <v>193</v>
      </c>
    </row>
    <row r="56" spans="1:7" x14ac:dyDescent="0.3">
      <c r="A56" s="2" t="s">
        <v>61</v>
      </c>
      <c r="B56" s="2">
        <v>64</v>
      </c>
      <c r="C56" s="2">
        <v>49754</v>
      </c>
      <c r="D56" s="2" t="s">
        <v>190</v>
      </c>
      <c r="E56" s="2">
        <v>4</v>
      </c>
      <c r="F56" s="2" t="s">
        <v>191</v>
      </c>
      <c r="G56" s="2" t="s">
        <v>193</v>
      </c>
    </row>
    <row r="57" spans="1:7" x14ac:dyDescent="0.3">
      <c r="A57" s="2" t="s">
        <v>62</v>
      </c>
      <c r="B57" s="2">
        <v>28</v>
      </c>
      <c r="C57" s="2">
        <v>148983</v>
      </c>
      <c r="D57" s="2" t="s">
        <v>189</v>
      </c>
      <c r="E57" s="2">
        <v>3</v>
      </c>
      <c r="F57" s="2" t="s">
        <v>192</v>
      </c>
      <c r="G57" s="2" t="s">
        <v>194</v>
      </c>
    </row>
    <row r="58" spans="1:7" x14ac:dyDescent="0.3">
      <c r="A58" s="2" t="s">
        <v>63</v>
      </c>
      <c r="B58" s="2">
        <v>67</v>
      </c>
      <c r="C58" s="2">
        <v>99896</v>
      </c>
      <c r="D58" s="2" t="s">
        <v>188</v>
      </c>
      <c r="E58" s="2">
        <v>2</v>
      </c>
      <c r="F58" s="2" t="s">
        <v>192</v>
      </c>
      <c r="G58" s="2" t="s">
        <v>193</v>
      </c>
    </row>
    <row r="59" spans="1:7" x14ac:dyDescent="0.3">
      <c r="A59" s="2" t="s">
        <v>64</v>
      </c>
      <c r="B59" s="2">
        <v>55</v>
      </c>
      <c r="C59" s="2">
        <v>86295</v>
      </c>
      <c r="D59" s="2" t="s">
        <v>187</v>
      </c>
      <c r="E59" s="2">
        <v>7</v>
      </c>
      <c r="F59" s="2" t="s">
        <v>191</v>
      </c>
      <c r="G59" s="2" t="s">
        <v>194</v>
      </c>
    </row>
    <row r="60" spans="1:7" x14ac:dyDescent="0.3">
      <c r="A60" s="2" t="s">
        <v>65</v>
      </c>
      <c r="B60" s="2">
        <v>34</v>
      </c>
      <c r="C60" s="2">
        <v>115689</v>
      </c>
      <c r="D60" s="2" t="s">
        <v>188</v>
      </c>
      <c r="E60" s="2">
        <v>5</v>
      </c>
      <c r="F60" s="2" t="s">
        <v>192</v>
      </c>
      <c r="G60" s="2" t="s">
        <v>194</v>
      </c>
    </row>
    <row r="61" spans="1:7" x14ac:dyDescent="0.3">
      <c r="A61" s="2" t="s">
        <v>66</v>
      </c>
      <c r="B61" s="2">
        <v>37</v>
      </c>
      <c r="C61" s="2">
        <v>26111</v>
      </c>
      <c r="D61" s="2" t="s">
        <v>188</v>
      </c>
      <c r="E61" s="2">
        <v>5</v>
      </c>
      <c r="F61" s="2" t="s">
        <v>191</v>
      </c>
      <c r="G61" s="2" t="s">
        <v>194</v>
      </c>
    </row>
    <row r="62" spans="1:7" x14ac:dyDescent="0.3">
      <c r="A62" s="2" t="s">
        <v>67</v>
      </c>
      <c r="B62" s="2">
        <v>56</v>
      </c>
      <c r="C62" s="2">
        <v>52504</v>
      </c>
      <c r="D62" s="2" t="s">
        <v>187</v>
      </c>
      <c r="E62" s="2">
        <v>3</v>
      </c>
      <c r="F62" s="2" t="s">
        <v>191</v>
      </c>
      <c r="G62" s="2" t="s">
        <v>194</v>
      </c>
    </row>
    <row r="63" spans="1:7" x14ac:dyDescent="0.3">
      <c r="A63" s="2" t="s">
        <v>68</v>
      </c>
      <c r="B63" s="2">
        <v>60</v>
      </c>
      <c r="C63" s="2">
        <v>147874</v>
      </c>
      <c r="D63" s="2" t="s">
        <v>190</v>
      </c>
      <c r="E63" s="2">
        <v>4</v>
      </c>
      <c r="F63" s="2" t="s">
        <v>191</v>
      </c>
      <c r="G63" s="2" t="s">
        <v>193</v>
      </c>
    </row>
    <row r="64" spans="1:7" x14ac:dyDescent="0.3">
      <c r="A64" s="2" t="s">
        <v>69</v>
      </c>
      <c r="B64" s="2">
        <v>24</v>
      </c>
      <c r="C64" s="2">
        <v>23155</v>
      </c>
      <c r="D64" s="2" t="s">
        <v>187</v>
      </c>
      <c r="E64" s="2">
        <v>1</v>
      </c>
      <c r="F64" s="2" t="s">
        <v>192</v>
      </c>
      <c r="G64" s="2" t="s">
        <v>193</v>
      </c>
    </row>
    <row r="65" spans="1:7" x14ac:dyDescent="0.3">
      <c r="A65" s="2" t="s">
        <v>70</v>
      </c>
      <c r="B65" s="2">
        <v>22</v>
      </c>
      <c r="C65" s="2">
        <v>54384</v>
      </c>
      <c r="D65" s="2" t="s">
        <v>190</v>
      </c>
      <c r="E65" s="2">
        <v>4</v>
      </c>
      <c r="F65" s="2" t="s">
        <v>192</v>
      </c>
      <c r="G65" s="2" t="s">
        <v>193</v>
      </c>
    </row>
    <row r="66" spans="1:7" x14ac:dyDescent="0.3">
      <c r="A66" s="2" t="s">
        <v>71</v>
      </c>
      <c r="B66" s="2">
        <v>26</v>
      </c>
      <c r="C66" s="2">
        <v>127561</v>
      </c>
      <c r="D66" s="2" t="s">
        <v>190</v>
      </c>
      <c r="E66" s="2">
        <v>3</v>
      </c>
      <c r="F66" s="2" t="s">
        <v>192</v>
      </c>
      <c r="G66" s="2" t="s">
        <v>194</v>
      </c>
    </row>
    <row r="67" spans="1:7" x14ac:dyDescent="0.3">
      <c r="A67" s="2" t="s">
        <v>72</v>
      </c>
      <c r="B67" s="2">
        <v>62</v>
      </c>
      <c r="C67" s="2">
        <v>62254</v>
      </c>
      <c r="D67" s="2" t="s">
        <v>190</v>
      </c>
      <c r="E67" s="2">
        <v>5</v>
      </c>
      <c r="F67" s="2" t="s">
        <v>192</v>
      </c>
      <c r="G67" s="2" t="s">
        <v>193</v>
      </c>
    </row>
    <row r="68" spans="1:7" x14ac:dyDescent="0.3">
      <c r="A68" s="2" t="s">
        <v>73</v>
      </c>
      <c r="B68" s="2">
        <v>24</v>
      </c>
      <c r="C68" s="2">
        <v>36918</v>
      </c>
      <c r="D68" s="2" t="s">
        <v>187</v>
      </c>
      <c r="E68" s="2">
        <v>4</v>
      </c>
      <c r="F68" s="2" t="s">
        <v>192</v>
      </c>
      <c r="G68" s="2" t="s">
        <v>194</v>
      </c>
    </row>
    <row r="69" spans="1:7" x14ac:dyDescent="0.3">
      <c r="A69" s="2" t="s">
        <v>74</v>
      </c>
      <c r="B69" s="2">
        <v>49</v>
      </c>
      <c r="C69" s="2">
        <v>100981</v>
      </c>
      <c r="D69" s="2" t="s">
        <v>190</v>
      </c>
      <c r="E69" s="2">
        <v>5</v>
      </c>
      <c r="F69" s="2" t="s">
        <v>191</v>
      </c>
      <c r="G69" s="2" t="s">
        <v>193</v>
      </c>
    </row>
    <row r="70" spans="1:7" x14ac:dyDescent="0.3">
      <c r="A70" s="2" t="s">
        <v>75</v>
      </c>
      <c r="B70" s="2">
        <v>38</v>
      </c>
      <c r="C70" s="2">
        <v>45306</v>
      </c>
      <c r="D70" s="2" t="s">
        <v>189</v>
      </c>
      <c r="E70" s="2">
        <v>7</v>
      </c>
      <c r="F70" s="2" t="s">
        <v>191</v>
      </c>
      <c r="G70" s="2" t="s">
        <v>194</v>
      </c>
    </row>
    <row r="71" spans="1:7" x14ac:dyDescent="0.3">
      <c r="A71" s="2" t="s">
        <v>76</v>
      </c>
      <c r="B71" s="2">
        <v>46</v>
      </c>
      <c r="C71" s="2">
        <v>61843</v>
      </c>
      <c r="D71" s="2" t="s">
        <v>187</v>
      </c>
      <c r="E71" s="2">
        <v>1</v>
      </c>
      <c r="F71" s="2" t="s">
        <v>191</v>
      </c>
      <c r="G71" s="2" t="s">
        <v>194</v>
      </c>
    </row>
    <row r="72" spans="1:7" x14ac:dyDescent="0.3">
      <c r="A72" s="2" t="s">
        <v>77</v>
      </c>
      <c r="B72" s="2">
        <v>64</v>
      </c>
      <c r="C72" s="2">
        <v>135975</v>
      </c>
      <c r="D72" s="2" t="s">
        <v>189</v>
      </c>
      <c r="E72" s="2">
        <v>7</v>
      </c>
      <c r="F72" s="2" t="s">
        <v>191</v>
      </c>
      <c r="G72" s="2" t="s">
        <v>194</v>
      </c>
    </row>
    <row r="73" spans="1:7" x14ac:dyDescent="0.3">
      <c r="A73" s="2" t="s">
        <v>78</v>
      </c>
      <c r="B73" s="2">
        <v>54</v>
      </c>
      <c r="C73" s="2">
        <v>111601</v>
      </c>
      <c r="D73" s="2" t="s">
        <v>190</v>
      </c>
      <c r="E73" s="2">
        <v>5</v>
      </c>
      <c r="F73" s="2" t="s">
        <v>192</v>
      </c>
      <c r="G73" s="2" t="s">
        <v>193</v>
      </c>
    </row>
    <row r="74" spans="1:7" x14ac:dyDescent="0.3">
      <c r="A74" s="2" t="s">
        <v>79</v>
      </c>
      <c r="B74" s="2">
        <v>30</v>
      </c>
      <c r="C74" s="2">
        <v>122512</v>
      </c>
      <c r="D74" s="2" t="s">
        <v>188</v>
      </c>
      <c r="E74" s="2">
        <v>5</v>
      </c>
      <c r="F74" s="2" t="s">
        <v>191</v>
      </c>
      <c r="G74" s="2" t="s">
        <v>193</v>
      </c>
    </row>
    <row r="75" spans="1:7" x14ac:dyDescent="0.3">
      <c r="A75" s="2" t="s">
        <v>80</v>
      </c>
      <c r="B75" s="2">
        <v>56</v>
      </c>
      <c r="C75" s="2">
        <v>126472</v>
      </c>
      <c r="D75" s="2" t="s">
        <v>190</v>
      </c>
      <c r="E75" s="2">
        <v>2</v>
      </c>
      <c r="F75" s="2" t="s">
        <v>192</v>
      </c>
      <c r="G75" s="2" t="s">
        <v>193</v>
      </c>
    </row>
    <row r="76" spans="1:7" x14ac:dyDescent="0.3">
      <c r="A76" s="2" t="s">
        <v>81</v>
      </c>
      <c r="B76" s="2">
        <v>34</v>
      </c>
      <c r="C76" s="2">
        <v>148121</v>
      </c>
      <c r="D76" s="2" t="s">
        <v>189</v>
      </c>
      <c r="E76" s="2">
        <v>2</v>
      </c>
      <c r="F76" s="2" t="s">
        <v>191</v>
      </c>
      <c r="G76" s="2" t="s">
        <v>193</v>
      </c>
    </row>
    <row r="77" spans="1:7" x14ac:dyDescent="0.3">
      <c r="A77" s="2" t="s">
        <v>82</v>
      </c>
      <c r="B77" s="2">
        <v>51</v>
      </c>
      <c r="C77" s="2">
        <v>118727</v>
      </c>
      <c r="D77" s="2" t="s">
        <v>189</v>
      </c>
      <c r="E77" s="2">
        <v>7</v>
      </c>
      <c r="F77" s="2" t="s">
        <v>192</v>
      </c>
      <c r="G77" s="2" t="s">
        <v>194</v>
      </c>
    </row>
    <row r="78" spans="1:7" x14ac:dyDescent="0.3">
      <c r="A78" s="2" t="s">
        <v>83</v>
      </c>
      <c r="B78" s="2">
        <v>68</v>
      </c>
      <c r="C78" s="2">
        <v>127893</v>
      </c>
      <c r="D78" s="2" t="s">
        <v>187</v>
      </c>
      <c r="E78" s="2">
        <v>6</v>
      </c>
      <c r="F78" s="2" t="s">
        <v>192</v>
      </c>
      <c r="G78" s="2" t="s">
        <v>193</v>
      </c>
    </row>
    <row r="79" spans="1:7" x14ac:dyDescent="0.3">
      <c r="A79" s="2" t="s">
        <v>84</v>
      </c>
      <c r="B79" s="2">
        <v>35</v>
      </c>
      <c r="C79" s="2">
        <v>35932</v>
      </c>
      <c r="D79" s="2" t="s">
        <v>188</v>
      </c>
      <c r="E79" s="2">
        <v>7</v>
      </c>
      <c r="F79" s="2" t="s">
        <v>191</v>
      </c>
      <c r="G79" s="2" t="s">
        <v>193</v>
      </c>
    </row>
    <row r="80" spans="1:7" x14ac:dyDescent="0.3">
      <c r="A80" s="2" t="s">
        <v>85</v>
      </c>
      <c r="B80" s="2">
        <v>28</v>
      </c>
      <c r="C80" s="2">
        <v>132796</v>
      </c>
      <c r="D80" s="2" t="s">
        <v>187</v>
      </c>
      <c r="E80" s="2">
        <v>2</v>
      </c>
      <c r="F80" s="2" t="s">
        <v>191</v>
      </c>
      <c r="G80" s="2" t="s">
        <v>194</v>
      </c>
    </row>
    <row r="81" spans="1:7" x14ac:dyDescent="0.3">
      <c r="A81" s="2" t="s">
        <v>86</v>
      </c>
      <c r="B81" s="2">
        <v>34</v>
      </c>
      <c r="C81" s="2">
        <v>44855</v>
      </c>
      <c r="D81" s="2" t="s">
        <v>189</v>
      </c>
      <c r="E81" s="2">
        <v>5</v>
      </c>
      <c r="F81" s="2" t="s">
        <v>191</v>
      </c>
      <c r="G81" s="2" t="s">
        <v>194</v>
      </c>
    </row>
    <row r="82" spans="1:7" x14ac:dyDescent="0.3">
      <c r="A82" s="2" t="s">
        <v>87</v>
      </c>
      <c r="B82" s="2">
        <v>43</v>
      </c>
      <c r="C82" s="2">
        <v>22400</v>
      </c>
      <c r="D82" s="2" t="s">
        <v>190</v>
      </c>
      <c r="E82" s="2">
        <v>3</v>
      </c>
      <c r="F82" s="2" t="s">
        <v>191</v>
      </c>
      <c r="G82" s="2" t="s">
        <v>194</v>
      </c>
    </row>
    <row r="83" spans="1:7" x14ac:dyDescent="0.3">
      <c r="A83" s="2" t="s">
        <v>88</v>
      </c>
      <c r="B83" s="2">
        <v>60</v>
      </c>
      <c r="C83" s="2">
        <v>132858</v>
      </c>
      <c r="D83" s="2" t="s">
        <v>188</v>
      </c>
      <c r="E83" s="2">
        <v>7</v>
      </c>
      <c r="F83" s="2" t="s">
        <v>192</v>
      </c>
      <c r="G83" s="2" t="s">
        <v>193</v>
      </c>
    </row>
    <row r="84" spans="1:7" x14ac:dyDescent="0.3">
      <c r="A84" s="2" t="s">
        <v>89</v>
      </c>
      <c r="B84" s="2">
        <v>41</v>
      </c>
      <c r="C84" s="2">
        <v>30151</v>
      </c>
      <c r="D84" s="2" t="s">
        <v>190</v>
      </c>
      <c r="E84" s="2">
        <v>5</v>
      </c>
      <c r="F84" s="2" t="s">
        <v>191</v>
      </c>
      <c r="G84" s="2" t="s">
        <v>194</v>
      </c>
    </row>
    <row r="85" spans="1:7" x14ac:dyDescent="0.3">
      <c r="A85" s="2" t="s">
        <v>90</v>
      </c>
      <c r="B85" s="2">
        <v>36</v>
      </c>
      <c r="C85" s="2">
        <v>81690</v>
      </c>
      <c r="D85" s="2" t="s">
        <v>190</v>
      </c>
      <c r="E85" s="2">
        <v>3</v>
      </c>
      <c r="F85" s="2" t="s">
        <v>191</v>
      </c>
      <c r="G85" s="2" t="s">
        <v>194</v>
      </c>
    </row>
    <row r="86" spans="1:7" x14ac:dyDescent="0.3">
      <c r="A86" s="2" t="s">
        <v>91</v>
      </c>
      <c r="B86" s="2">
        <v>65</v>
      </c>
      <c r="C86" s="2">
        <v>19499</v>
      </c>
      <c r="D86" s="2" t="s">
        <v>188</v>
      </c>
      <c r="E86" s="2">
        <v>3</v>
      </c>
      <c r="F86" s="2" t="s">
        <v>192</v>
      </c>
      <c r="G86" s="2" t="s">
        <v>194</v>
      </c>
    </row>
    <row r="87" spans="1:7" x14ac:dyDescent="0.3">
      <c r="A87" s="2" t="s">
        <v>92</v>
      </c>
      <c r="B87" s="2">
        <v>38</v>
      </c>
      <c r="C87" s="2">
        <v>21295</v>
      </c>
      <c r="D87" s="2" t="s">
        <v>187</v>
      </c>
      <c r="E87" s="2">
        <v>2</v>
      </c>
      <c r="F87" s="2" t="s">
        <v>191</v>
      </c>
      <c r="G87" s="2" t="s">
        <v>193</v>
      </c>
    </row>
    <row r="88" spans="1:7" x14ac:dyDescent="0.3">
      <c r="A88" s="2" t="s">
        <v>93</v>
      </c>
      <c r="B88" s="2">
        <v>67</v>
      </c>
      <c r="C88" s="2">
        <v>135885</v>
      </c>
      <c r="D88" s="2" t="s">
        <v>190</v>
      </c>
      <c r="E88" s="2">
        <v>7</v>
      </c>
      <c r="F88" s="2" t="s">
        <v>191</v>
      </c>
      <c r="G88" s="2" t="s">
        <v>194</v>
      </c>
    </row>
    <row r="89" spans="1:7" x14ac:dyDescent="0.3">
      <c r="A89" s="2" t="s">
        <v>94</v>
      </c>
      <c r="B89" s="2">
        <v>44</v>
      </c>
      <c r="C89" s="2">
        <v>141071</v>
      </c>
      <c r="D89" s="2" t="s">
        <v>189</v>
      </c>
      <c r="E89" s="2">
        <v>4</v>
      </c>
      <c r="F89" s="2" t="s">
        <v>191</v>
      </c>
      <c r="G89" s="2" t="s">
        <v>193</v>
      </c>
    </row>
    <row r="90" spans="1:7" x14ac:dyDescent="0.3">
      <c r="A90" s="2" t="s">
        <v>95</v>
      </c>
      <c r="B90" s="2">
        <v>46</v>
      </c>
      <c r="C90" s="2">
        <v>74040</v>
      </c>
      <c r="D90" s="2" t="s">
        <v>190</v>
      </c>
      <c r="E90" s="2">
        <v>1</v>
      </c>
      <c r="F90" s="2" t="s">
        <v>191</v>
      </c>
      <c r="G90" s="2" t="s">
        <v>193</v>
      </c>
    </row>
    <row r="91" spans="1:7" x14ac:dyDescent="0.3">
      <c r="A91" s="2" t="s">
        <v>96</v>
      </c>
      <c r="B91" s="2">
        <v>45</v>
      </c>
      <c r="C91" s="2">
        <v>27183</v>
      </c>
      <c r="D91" s="2" t="s">
        <v>188</v>
      </c>
      <c r="E91" s="2">
        <v>2</v>
      </c>
      <c r="F91" s="2" t="s">
        <v>191</v>
      </c>
      <c r="G91" s="2" t="s">
        <v>194</v>
      </c>
    </row>
    <row r="92" spans="1:7" x14ac:dyDescent="0.3">
      <c r="A92" s="2" t="s">
        <v>97</v>
      </c>
      <c r="B92" s="2">
        <v>65</v>
      </c>
      <c r="C92" s="2">
        <v>131336</v>
      </c>
      <c r="D92" s="2" t="s">
        <v>188</v>
      </c>
      <c r="E92" s="2">
        <v>2</v>
      </c>
      <c r="F92" s="2" t="s">
        <v>192</v>
      </c>
      <c r="G92" s="2" t="s">
        <v>194</v>
      </c>
    </row>
    <row r="93" spans="1:7" x14ac:dyDescent="0.3">
      <c r="A93" s="2" t="s">
        <v>98</v>
      </c>
      <c r="B93" s="2">
        <v>61</v>
      </c>
      <c r="C93" s="2">
        <v>47711</v>
      </c>
      <c r="D93" s="2" t="s">
        <v>188</v>
      </c>
      <c r="E93" s="2">
        <v>4</v>
      </c>
      <c r="F93" s="2" t="s">
        <v>191</v>
      </c>
      <c r="G93" s="2" t="s">
        <v>193</v>
      </c>
    </row>
    <row r="94" spans="1:7" x14ac:dyDescent="0.3">
      <c r="A94" s="2" t="s">
        <v>99</v>
      </c>
      <c r="B94" s="2">
        <v>49</v>
      </c>
      <c r="C94" s="2">
        <v>20539</v>
      </c>
      <c r="D94" s="2" t="s">
        <v>187</v>
      </c>
      <c r="E94" s="2">
        <v>1</v>
      </c>
      <c r="F94" s="2" t="s">
        <v>191</v>
      </c>
      <c r="G94" s="2" t="s">
        <v>194</v>
      </c>
    </row>
    <row r="95" spans="1:7" x14ac:dyDescent="0.3">
      <c r="A95" s="2" t="s">
        <v>100</v>
      </c>
      <c r="B95" s="2">
        <v>35</v>
      </c>
      <c r="C95" s="2">
        <v>141063</v>
      </c>
      <c r="D95" s="2" t="s">
        <v>190</v>
      </c>
      <c r="E95" s="2">
        <v>5</v>
      </c>
      <c r="F95" s="2" t="s">
        <v>191</v>
      </c>
      <c r="G95" s="2" t="s">
        <v>194</v>
      </c>
    </row>
    <row r="96" spans="1:7" x14ac:dyDescent="0.3">
      <c r="A96" s="2" t="s">
        <v>101</v>
      </c>
      <c r="B96" s="2">
        <v>65</v>
      </c>
      <c r="C96" s="2">
        <v>148629</v>
      </c>
      <c r="D96" s="2" t="s">
        <v>187</v>
      </c>
      <c r="E96" s="2">
        <v>6</v>
      </c>
      <c r="F96" s="2" t="s">
        <v>191</v>
      </c>
      <c r="G96" s="2" t="s">
        <v>193</v>
      </c>
    </row>
    <row r="97" spans="1:7" x14ac:dyDescent="0.3">
      <c r="A97" s="2" t="s">
        <v>102</v>
      </c>
      <c r="B97" s="2">
        <v>21</v>
      </c>
      <c r="C97" s="2">
        <v>53360</v>
      </c>
      <c r="D97" s="2" t="s">
        <v>187</v>
      </c>
      <c r="E97" s="2">
        <v>7</v>
      </c>
      <c r="F97" s="2" t="s">
        <v>191</v>
      </c>
      <c r="G97" s="2" t="s">
        <v>193</v>
      </c>
    </row>
    <row r="98" spans="1:7" x14ac:dyDescent="0.3">
      <c r="A98" s="2" t="s">
        <v>103</v>
      </c>
      <c r="B98" s="2">
        <v>45</v>
      </c>
      <c r="C98" s="2">
        <v>148272</v>
      </c>
      <c r="D98" s="2" t="s">
        <v>188</v>
      </c>
      <c r="E98" s="2">
        <v>6</v>
      </c>
      <c r="F98" s="2" t="s">
        <v>192</v>
      </c>
      <c r="G98" s="2" t="s">
        <v>194</v>
      </c>
    </row>
    <row r="99" spans="1:7" x14ac:dyDescent="0.3">
      <c r="A99" s="2" t="s">
        <v>104</v>
      </c>
      <c r="B99" s="2">
        <v>27</v>
      </c>
      <c r="C99" s="2">
        <v>36357</v>
      </c>
      <c r="D99" s="2" t="s">
        <v>188</v>
      </c>
      <c r="E99" s="2">
        <v>5</v>
      </c>
      <c r="F99" s="2" t="s">
        <v>191</v>
      </c>
      <c r="G99" s="2" t="s">
        <v>193</v>
      </c>
    </row>
    <row r="100" spans="1:7" x14ac:dyDescent="0.3">
      <c r="A100" s="2" t="s">
        <v>105</v>
      </c>
      <c r="B100" s="2">
        <v>29</v>
      </c>
      <c r="C100" s="2">
        <v>134121</v>
      </c>
      <c r="D100" s="2" t="s">
        <v>187</v>
      </c>
      <c r="E100" s="2">
        <v>2</v>
      </c>
      <c r="F100" s="2" t="s">
        <v>192</v>
      </c>
      <c r="G100" s="2" t="s">
        <v>194</v>
      </c>
    </row>
    <row r="101" spans="1:7" x14ac:dyDescent="0.3">
      <c r="A101" s="2" t="s">
        <v>106</v>
      </c>
      <c r="B101" s="2">
        <v>44</v>
      </c>
      <c r="C101" s="2">
        <v>92505</v>
      </c>
      <c r="D101" s="2" t="s">
        <v>190</v>
      </c>
      <c r="E101" s="2">
        <v>1</v>
      </c>
      <c r="F101" s="2" t="s">
        <v>192</v>
      </c>
      <c r="G101" s="2" t="s">
        <v>194</v>
      </c>
    </row>
    <row r="102" spans="1:7" x14ac:dyDescent="0.3">
      <c r="A102" s="2" t="s">
        <v>107</v>
      </c>
      <c r="B102" s="2">
        <v>21</v>
      </c>
      <c r="C102" s="2">
        <v>17869</v>
      </c>
      <c r="D102" s="2" t="s">
        <v>189</v>
      </c>
      <c r="E102" s="2">
        <v>2</v>
      </c>
      <c r="F102" s="2" t="s">
        <v>191</v>
      </c>
      <c r="G102" s="2" t="s">
        <v>194</v>
      </c>
    </row>
    <row r="103" spans="1:7" x14ac:dyDescent="0.3">
      <c r="A103" s="2" t="s">
        <v>108</v>
      </c>
      <c r="B103" s="2">
        <v>64</v>
      </c>
      <c r="C103" s="2">
        <v>65108</v>
      </c>
      <c r="D103" s="2" t="s">
        <v>187</v>
      </c>
      <c r="E103" s="2">
        <v>3</v>
      </c>
      <c r="F103" s="2" t="s">
        <v>191</v>
      </c>
      <c r="G103" s="2" t="s">
        <v>193</v>
      </c>
    </row>
    <row r="104" spans="1:7" x14ac:dyDescent="0.3">
      <c r="A104" s="2" t="s">
        <v>109</v>
      </c>
      <c r="B104" s="2">
        <v>28</v>
      </c>
      <c r="C104" s="2">
        <v>127296</v>
      </c>
      <c r="D104" s="2" t="s">
        <v>190</v>
      </c>
      <c r="E104" s="2">
        <v>2</v>
      </c>
      <c r="F104" s="2" t="s">
        <v>191</v>
      </c>
      <c r="G104" s="2" t="s">
        <v>194</v>
      </c>
    </row>
    <row r="105" spans="1:7" x14ac:dyDescent="0.3">
      <c r="A105" s="2" t="s">
        <v>110</v>
      </c>
      <c r="B105" s="2">
        <v>44</v>
      </c>
      <c r="C105" s="2">
        <v>109179</v>
      </c>
      <c r="D105" s="2" t="s">
        <v>188</v>
      </c>
      <c r="E105" s="2">
        <v>2</v>
      </c>
      <c r="F105" s="2" t="s">
        <v>191</v>
      </c>
      <c r="G105" s="2" t="s">
        <v>194</v>
      </c>
    </row>
    <row r="106" spans="1:7" x14ac:dyDescent="0.3">
      <c r="A106" s="2" t="s">
        <v>111</v>
      </c>
      <c r="B106" s="2">
        <v>31</v>
      </c>
      <c r="C106" s="2">
        <v>105272</v>
      </c>
      <c r="D106" s="2" t="s">
        <v>188</v>
      </c>
      <c r="E106" s="2">
        <v>5</v>
      </c>
      <c r="F106" s="2" t="s">
        <v>192</v>
      </c>
      <c r="G106" s="2" t="s">
        <v>194</v>
      </c>
    </row>
    <row r="107" spans="1:7" x14ac:dyDescent="0.3">
      <c r="A107" s="2" t="s">
        <v>112</v>
      </c>
      <c r="B107" s="2">
        <v>37</v>
      </c>
      <c r="C107" s="2">
        <v>53467</v>
      </c>
      <c r="D107" s="2" t="s">
        <v>190</v>
      </c>
      <c r="E107" s="2">
        <v>5</v>
      </c>
      <c r="F107" s="2" t="s">
        <v>191</v>
      </c>
      <c r="G107" s="2" t="s">
        <v>193</v>
      </c>
    </row>
    <row r="108" spans="1:7" x14ac:dyDescent="0.3">
      <c r="A108" s="2" t="s">
        <v>113</v>
      </c>
      <c r="B108" s="2">
        <v>28</v>
      </c>
      <c r="C108" s="2">
        <v>38328</v>
      </c>
      <c r="D108" s="2" t="s">
        <v>189</v>
      </c>
      <c r="E108" s="2">
        <v>5</v>
      </c>
      <c r="F108" s="2" t="s">
        <v>191</v>
      </c>
      <c r="G108" s="2" t="s">
        <v>193</v>
      </c>
    </row>
    <row r="109" spans="1:7" x14ac:dyDescent="0.3">
      <c r="A109" s="2" t="s">
        <v>114</v>
      </c>
      <c r="B109" s="2">
        <v>55</v>
      </c>
      <c r="C109" s="2">
        <v>106412</v>
      </c>
      <c r="D109" s="2" t="s">
        <v>188</v>
      </c>
      <c r="E109" s="2">
        <v>6</v>
      </c>
      <c r="F109" s="2" t="s">
        <v>191</v>
      </c>
      <c r="G109" s="2" t="s">
        <v>193</v>
      </c>
    </row>
    <row r="110" spans="1:7" x14ac:dyDescent="0.3">
      <c r="A110" s="2" t="s">
        <v>115</v>
      </c>
      <c r="B110" s="2">
        <v>55</v>
      </c>
      <c r="C110" s="2">
        <v>73871</v>
      </c>
      <c r="D110" s="2" t="s">
        <v>188</v>
      </c>
      <c r="E110" s="2">
        <v>3</v>
      </c>
      <c r="F110" s="2" t="s">
        <v>191</v>
      </c>
      <c r="G110" s="2" t="s">
        <v>193</v>
      </c>
    </row>
    <row r="111" spans="1:7" x14ac:dyDescent="0.3">
      <c r="A111" s="2" t="s">
        <v>116</v>
      </c>
      <c r="B111" s="2">
        <v>53</v>
      </c>
      <c r="C111" s="2">
        <v>143391</v>
      </c>
      <c r="D111" s="2" t="s">
        <v>188</v>
      </c>
      <c r="E111" s="2">
        <v>5</v>
      </c>
      <c r="F111" s="2" t="s">
        <v>191</v>
      </c>
      <c r="G111" s="2" t="s">
        <v>193</v>
      </c>
    </row>
    <row r="112" spans="1:7" x14ac:dyDescent="0.3">
      <c r="A112" s="2" t="s">
        <v>117</v>
      </c>
      <c r="B112" s="2">
        <v>25</v>
      </c>
      <c r="C112" s="2">
        <v>101416</v>
      </c>
      <c r="D112" s="2" t="s">
        <v>190</v>
      </c>
      <c r="E112" s="2">
        <v>1</v>
      </c>
      <c r="F112" s="2" t="s">
        <v>191</v>
      </c>
      <c r="G112" s="2" t="s">
        <v>194</v>
      </c>
    </row>
    <row r="113" spans="1:7" x14ac:dyDescent="0.3">
      <c r="A113" s="2" t="s">
        <v>118</v>
      </c>
      <c r="B113" s="2">
        <v>62</v>
      </c>
      <c r="C113" s="2">
        <v>85271</v>
      </c>
      <c r="D113" s="2" t="s">
        <v>187</v>
      </c>
      <c r="E113" s="2">
        <v>6</v>
      </c>
      <c r="F113" s="2" t="s">
        <v>192</v>
      </c>
      <c r="G113" s="2" t="s">
        <v>193</v>
      </c>
    </row>
    <row r="114" spans="1:7" x14ac:dyDescent="0.3">
      <c r="A114" s="2" t="s">
        <v>119</v>
      </c>
      <c r="B114" s="2">
        <v>59</v>
      </c>
      <c r="C114" s="2">
        <v>59064</v>
      </c>
      <c r="D114" s="2" t="s">
        <v>188</v>
      </c>
      <c r="E114" s="2">
        <v>4</v>
      </c>
      <c r="F114" s="2" t="s">
        <v>192</v>
      </c>
      <c r="G114" s="2" t="s">
        <v>193</v>
      </c>
    </row>
    <row r="115" spans="1:7" x14ac:dyDescent="0.3">
      <c r="A115" s="2" t="s">
        <v>120</v>
      </c>
      <c r="B115" s="2">
        <v>61</v>
      </c>
      <c r="C115" s="2">
        <v>122450</v>
      </c>
      <c r="D115" s="2" t="s">
        <v>187</v>
      </c>
      <c r="E115" s="2">
        <v>1</v>
      </c>
      <c r="F115" s="2" t="s">
        <v>191</v>
      </c>
      <c r="G115" s="2" t="s">
        <v>193</v>
      </c>
    </row>
    <row r="116" spans="1:7" x14ac:dyDescent="0.3">
      <c r="A116" s="2" t="s">
        <v>121</v>
      </c>
      <c r="B116" s="2">
        <v>48</v>
      </c>
      <c r="C116" s="2">
        <v>34830</v>
      </c>
      <c r="D116" s="2" t="s">
        <v>189</v>
      </c>
      <c r="E116" s="2">
        <v>7</v>
      </c>
      <c r="F116" s="2" t="s">
        <v>191</v>
      </c>
      <c r="G116" s="2" t="s">
        <v>194</v>
      </c>
    </row>
    <row r="117" spans="1:7" x14ac:dyDescent="0.3">
      <c r="A117" s="2" t="s">
        <v>122</v>
      </c>
      <c r="B117" s="2">
        <v>27</v>
      </c>
      <c r="C117" s="2">
        <v>131381</v>
      </c>
      <c r="D117" s="2" t="s">
        <v>188</v>
      </c>
      <c r="E117" s="2">
        <v>7</v>
      </c>
      <c r="F117" s="2" t="s">
        <v>191</v>
      </c>
      <c r="G117" s="2" t="s">
        <v>193</v>
      </c>
    </row>
    <row r="118" spans="1:7" x14ac:dyDescent="0.3">
      <c r="A118" s="2" t="s">
        <v>123</v>
      </c>
      <c r="B118" s="2">
        <v>29</v>
      </c>
      <c r="C118" s="2">
        <v>62333</v>
      </c>
      <c r="D118" s="2" t="s">
        <v>188</v>
      </c>
      <c r="E118" s="2">
        <v>1</v>
      </c>
      <c r="F118" s="2" t="s">
        <v>192</v>
      </c>
      <c r="G118" s="2" t="s">
        <v>193</v>
      </c>
    </row>
    <row r="119" spans="1:7" x14ac:dyDescent="0.3">
      <c r="A119" s="2" t="s">
        <v>124</v>
      </c>
      <c r="B119" s="2">
        <v>28</v>
      </c>
      <c r="C119" s="2">
        <v>149508</v>
      </c>
      <c r="D119" s="2" t="s">
        <v>189</v>
      </c>
      <c r="E119" s="2">
        <v>5</v>
      </c>
      <c r="F119" s="2" t="s">
        <v>191</v>
      </c>
      <c r="G119" s="2" t="s">
        <v>194</v>
      </c>
    </row>
    <row r="120" spans="1:7" x14ac:dyDescent="0.3">
      <c r="A120" s="2" t="s">
        <v>125</v>
      </c>
      <c r="B120" s="2">
        <v>32</v>
      </c>
      <c r="C120" s="2">
        <v>91213</v>
      </c>
      <c r="D120" s="2" t="s">
        <v>188</v>
      </c>
      <c r="E120" s="2">
        <v>4</v>
      </c>
      <c r="F120" s="2" t="s">
        <v>192</v>
      </c>
      <c r="G120" s="2" t="s">
        <v>193</v>
      </c>
    </row>
    <row r="121" spans="1:7" x14ac:dyDescent="0.3">
      <c r="A121" s="2" t="s">
        <v>126</v>
      </c>
      <c r="B121" s="2">
        <v>54</v>
      </c>
      <c r="C121" s="2">
        <v>45746</v>
      </c>
      <c r="D121" s="2" t="s">
        <v>187</v>
      </c>
      <c r="E121" s="2">
        <v>4</v>
      </c>
      <c r="F121" s="2" t="s">
        <v>191</v>
      </c>
      <c r="G121" s="2" t="s">
        <v>194</v>
      </c>
    </row>
    <row r="122" spans="1:7" x14ac:dyDescent="0.3">
      <c r="A122" s="2" t="s">
        <v>127</v>
      </c>
      <c r="B122" s="2">
        <v>53</v>
      </c>
      <c r="C122" s="2">
        <v>64377</v>
      </c>
      <c r="D122" s="2" t="s">
        <v>190</v>
      </c>
      <c r="E122" s="2">
        <v>6</v>
      </c>
      <c r="F122" s="2" t="s">
        <v>191</v>
      </c>
      <c r="G122" s="2" t="s">
        <v>194</v>
      </c>
    </row>
    <row r="123" spans="1:7" x14ac:dyDescent="0.3">
      <c r="A123" s="2" t="s">
        <v>128</v>
      </c>
      <c r="B123" s="2">
        <v>68</v>
      </c>
      <c r="C123" s="2">
        <v>69045</v>
      </c>
      <c r="D123" s="2" t="s">
        <v>187</v>
      </c>
      <c r="E123" s="2">
        <v>4</v>
      </c>
      <c r="F123" s="2" t="s">
        <v>191</v>
      </c>
      <c r="G123" s="2" t="s">
        <v>194</v>
      </c>
    </row>
    <row r="124" spans="1:7" x14ac:dyDescent="0.3">
      <c r="A124" s="2" t="s">
        <v>129</v>
      </c>
      <c r="B124" s="2">
        <v>43</v>
      </c>
      <c r="C124" s="2">
        <v>112888</v>
      </c>
      <c r="D124" s="2" t="s">
        <v>190</v>
      </c>
      <c r="E124" s="2">
        <v>7</v>
      </c>
      <c r="F124" s="2" t="s">
        <v>191</v>
      </c>
      <c r="G124" s="2" t="s">
        <v>194</v>
      </c>
    </row>
    <row r="125" spans="1:7" x14ac:dyDescent="0.3">
      <c r="A125" s="2" t="s">
        <v>130</v>
      </c>
      <c r="B125" s="2">
        <v>44</v>
      </c>
      <c r="C125" s="2">
        <v>122455</v>
      </c>
      <c r="D125" s="2" t="s">
        <v>190</v>
      </c>
      <c r="E125" s="2">
        <v>3</v>
      </c>
      <c r="F125" s="2" t="s">
        <v>192</v>
      </c>
      <c r="G125" s="2" t="s">
        <v>194</v>
      </c>
    </row>
    <row r="126" spans="1:7" x14ac:dyDescent="0.3">
      <c r="A126" s="2" t="s">
        <v>131</v>
      </c>
      <c r="B126" s="2">
        <v>57</v>
      </c>
      <c r="C126" s="2">
        <v>108179</v>
      </c>
      <c r="D126" s="2" t="s">
        <v>187</v>
      </c>
      <c r="E126" s="2">
        <v>5</v>
      </c>
      <c r="F126" s="2" t="s">
        <v>192</v>
      </c>
      <c r="G126" s="2" t="s">
        <v>193</v>
      </c>
    </row>
    <row r="127" spans="1:7" x14ac:dyDescent="0.3">
      <c r="A127" s="2" t="s">
        <v>132</v>
      </c>
      <c r="B127" s="2">
        <v>55</v>
      </c>
      <c r="C127" s="2">
        <v>60714</v>
      </c>
      <c r="D127" s="2" t="s">
        <v>187</v>
      </c>
      <c r="E127" s="2">
        <v>4</v>
      </c>
      <c r="F127" s="2" t="s">
        <v>191</v>
      </c>
      <c r="G127" s="2" t="s">
        <v>194</v>
      </c>
    </row>
    <row r="128" spans="1:7" x14ac:dyDescent="0.3">
      <c r="A128" s="2" t="s">
        <v>133</v>
      </c>
      <c r="B128" s="2">
        <v>64</v>
      </c>
      <c r="C128" s="2">
        <v>117946</v>
      </c>
      <c r="D128" s="2" t="s">
        <v>187</v>
      </c>
      <c r="E128" s="2">
        <v>6</v>
      </c>
      <c r="F128" s="2" t="s">
        <v>191</v>
      </c>
      <c r="G128" s="2" t="s">
        <v>194</v>
      </c>
    </row>
    <row r="129" spans="1:7" x14ac:dyDescent="0.3">
      <c r="A129" s="2" t="s">
        <v>134</v>
      </c>
      <c r="B129" s="2">
        <v>60</v>
      </c>
      <c r="C129" s="2">
        <v>124616</v>
      </c>
      <c r="D129" s="2" t="s">
        <v>187</v>
      </c>
      <c r="E129" s="2">
        <v>7</v>
      </c>
      <c r="F129" s="2" t="s">
        <v>192</v>
      </c>
      <c r="G129" s="2" t="s">
        <v>193</v>
      </c>
    </row>
    <row r="130" spans="1:7" x14ac:dyDescent="0.3">
      <c r="A130" s="2" t="s">
        <v>135</v>
      </c>
      <c r="B130" s="2">
        <v>42</v>
      </c>
      <c r="C130" s="2">
        <v>120983</v>
      </c>
      <c r="D130" s="2" t="s">
        <v>189</v>
      </c>
      <c r="E130" s="2">
        <v>3</v>
      </c>
      <c r="F130" s="2" t="s">
        <v>192</v>
      </c>
      <c r="G130" s="2" t="s">
        <v>194</v>
      </c>
    </row>
    <row r="131" spans="1:7" x14ac:dyDescent="0.3">
      <c r="A131" s="2" t="s">
        <v>136</v>
      </c>
      <c r="B131" s="2">
        <v>47</v>
      </c>
      <c r="C131" s="2">
        <v>139123</v>
      </c>
      <c r="D131" s="2" t="s">
        <v>188</v>
      </c>
      <c r="E131" s="2">
        <v>2</v>
      </c>
      <c r="F131" s="2" t="s">
        <v>192</v>
      </c>
      <c r="G131" s="2" t="s">
        <v>193</v>
      </c>
    </row>
    <row r="132" spans="1:7" x14ac:dyDescent="0.3">
      <c r="A132" s="2" t="s">
        <v>137</v>
      </c>
      <c r="B132" s="2">
        <v>55</v>
      </c>
      <c r="C132" s="2">
        <v>58484</v>
      </c>
      <c r="D132" s="2" t="s">
        <v>190</v>
      </c>
      <c r="E132" s="2">
        <v>2</v>
      </c>
      <c r="F132" s="2" t="s">
        <v>192</v>
      </c>
      <c r="G132" s="2" t="s">
        <v>193</v>
      </c>
    </row>
    <row r="133" spans="1:7" x14ac:dyDescent="0.3">
      <c r="A133" s="2" t="s">
        <v>138</v>
      </c>
      <c r="B133" s="2">
        <v>21</v>
      </c>
      <c r="C133" s="2">
        <v>97989</v>
      </c>
      <c r="D133" s="2" t="s">
        <v>187</v>
      </c>
      <c r="E133" s="2">
        <v>3</v>
      </c>
      <c r="F133" s="2" t="s">
        <v>191</v>
      </c>
      <c r="G133" s="2" t="s">
        <v>193</v>
      </c>
    </row>
    <row r="134" spans="1:7" x14ac:dyDescent="0.3">
      <c r="A134" s="2" t="s">
        <v>139</v>
      </c>
      <c r="B134" s="2">
        <v>55</v>
      </c>
      <c r="C134" s="2">
        <v>51212</v>
      </c>
      <c r="D134" s="2" t="s">
        <v>187</v>
      </c>
      <c r="E134" s="2">
        <v>7</v>
      </c>
      <c r="F134" s="2" t="s">
        <v>192</v>
      </c>
      <c r="G134" s="2" t="s">
        <v>194</v>
      </c>
    </row>
    <row r="135" spans="1:7" x14ac:dyDescent="0.3">
      <c r="A135" s="2" t="s">
        <v>140</v>
      </c>
      <c r="B135" s="2">
        <v>57</v>
      </c>
      <c r="C135" s="2">
        <v>58525</v>
      </c>
      <c r="D135" s="2" t="s">
        <v>187</v>
      </c>
      <c r="E135" s="2">
        <v>6</v>
      </c>
      <c r="F135" s="2" t="s">
        <v>191</v>
      </c>
      <c r="G135" s="2" t="s">
        <v>194</v>
      </c>
    </row>
    <row r="136" spans="1:7" x14ac:dyDescent="0.3">
      <c r="A136" s="2" t="s">
        <v>141</v>
      </c>
      <c r="B136" s="2">
        <v>67</v>
      </c>
      <c r="C136" s="2">
        <v>78208</v>
      </c>
      <c r="D136" s="2" t="s">
        <v>189</v>
      </c>
      <c r="E136" s="2">
        <v>3</v>
      </c>
      <c r="F136" s="2" t="s">
        <v>192</v>
      </c>
      <c r="G136" s="2" t="s">
        <v>194</v>
      </c>
    </row>
    <row r="137" spans="1:7" x14ac:dyDescent="0.3">
      <c r="A137" s="2" t="s">
        <v>142</v>
      </c>
      <c r="B137" s="2">
        <v>34</v>
      </c>
      <c r="C137" s="2">
        <v>48828</v>
      </c>
      <c r="D137" s="2" t="s">
        <v>187</v>
      </c>
      <c r="E137" s="2">
        <v>5</v>
      </c>
      <c r="F137" s="2" t="s">
        <v>192</v>
      </c>
      <c r="G137" s="2" t="s">
        <v>193</v>
      </c>
    </row>
    <row r="138" spans="1:7" x14ac:dyDescent="0.3">
      <c r="A138" s="2" t="s">
        <v>143</v>
      </c>
      <c r="B138" s="2">
        <v>23</v>
      </c>
      <c r="C138" s="2">
        <v>18420</v>
      </c>
      <c r="D138" s="2" t="s">
        <v>187</v>
      </c>
      <c r="E138" s="2">
        <v>5</v>
      </c>
      <c r="F138" s="2" t="s">
        <v>192</v>
      </c>
      <c r="G138" s="2" t="s">
        <v>194</v>
      </c>
    </row>
    <row r="139" spans="1:7" x14ac:dyDescent="0.3">
      <c r="A139" s="2" t="s">
        <v>144</v>
      </c>
      <c r="B139" s="2">
        <v>21</v>
      </c>
      <c r="C139" s="2">
        <v>111752</v>
      </c>
      <c r="D139" s="2" t="s">
        <v>187</v>
      </c>
      <c r="E139" s="2">
        <v>2</v>
      </c>
      <c r="F139" s="2" t="s">
        <v>192</v>
      </c>
      <c r="G139" s="2" t="s">
        <v>194</v>
      </c>
    </row>
    <row r="140" spans="1:7" x14ac:dyDescent="0.3">
      <c r="A140" s="2" t="s">
        <v>145</v>
      </c>
      <c r="B140" s="2">
        <v>25</v>
      </c>
      <c r="C140" s="2">
        <v>146373</v>
      </c>
      <c r="D140" s="2" t="s">
        <v>188</v>
      </c>
      <c r="E140" s="2">
        <v>4</v>
      </c>
      <c r="F140" s="2" t="s">
        <v>192</v>
      </c>
      <c r="G140" s="2" t="s">
        <v>194</v>
      </c>
    </row>
    <row r="141" spans="1:7" x14ac:dyDescent="0.3">
      <c r="A141" s="2" t="s">
        <v>146</v>
      </c>
      <c r="B141" s="2">
        <v>46</v>
      </c>
      <c r="C141" s="2">
        <v>130294</v>
      </c>
      <c r="D141" s="2" t="s">
        <v>189</v>
      </c>
      <c r="E141" s="2">
        <v>6</v>
      </c>
      <c r="F141" s="2" t="s">
        <v>191</v>
      </c>
      <c r="G141" s="2" t="s">
        <v>193</v>
      </c>
    </row>
    <row r="142" spans="1:7" x14ac:dyDescent="0.3">
      <c r="A142" s="2" t="s">
        <v>147</v>
      </c>
      <c r="B142" s="2">
        <v>34</v>
      </c>
      <c r="C142" s="2">
        <v>139019</v>
      </c>
      <c r="D142" s="2" t="s">
        <v>187</v>
      </c>
      <c r="E142" s="2">
        <v>2</v>
      </c>
      <c r="F142" s="2" t="s">
        <v>191</v>
      </c>
      <c r="G142" s="2" t="s">
        <v>193</v>
      </c>
    </row>
    <row r="143" spans="1:7" x14ac:dyDescent="0.3">
      <c r="A143" s="2" t="s">
        <v>148</v>
      </c>
      <c r="B143" s="2">
        <v>59</v>
      </c>
      <c r="C143" s="2">
        <v>80726</v>
      </c>
      <c r="D143" s="2" t="s">
        <v>190</v>
      </c>
      <c r="E143" s="2">
        <v>4</v>
      </c>
      <c r="F143" s="2" t="s">
        <v>192</v>
      </c>
      <c r="G143" s="2" t="s">
        <v>194</v>
      </c>
    </row>
    <row r="144" spans="1:7" x14ac:dyDescent="0.3">
      <c r="A144" s="2" t="s">
        <v>149</v>
      </c>
      <c r="B144" s="2">
        <v>47</v>
      </c>
      <c r="C144" s="2">
        <v>130668</v>
      </c>
      <c r="D144" s="2" t="s">
        <v>190</v>
      </c>
      <c r="E144" s="2">
        <v>4</v>
      </c>
      <c r="F144" s="2" t="s">
        <v>192</v>
      </c>
      <c r="G144" s="2" t="s">
        <v>194</v>
      </c>
    </row>
    <row r="145" spans="1:7" x14ac:dyDescent="0.3">
      <c r="A145" s="2" t="s">
        <v>150</v>
      </c>
      <c r="B145" s="2">
        <v>29</v>
      </c>
      <c r="C145" s="2">
        <v>21102</v>
      </c>
      <c r="D145" s="2" t="s">
        <v>190</v>
      </c>
      <c r="E145" s="2">
        <v>5</v>
      </c>
      <c r="F145" s="2" t="s">
        <v>191</v>
      </c>
      <c r="G145" s="2" t="s">
        <v>194</v>
      </c>
    </row>
    <row r="146" spans="1:7" x14ac:dyDescent="0.3">
      <c r="A146" s="2" t="s">
        <v>151</v>
      </c>
      <c r="B146" s="2">
        <v>35</v>
      </c>
      <c r="C146" s="2">
        <v>133015</v>
      </c>
      <c r="D146" s="2" t="s">
        <v>189</v>
      </c>
      <c r="E146" s="2">
        <v>7</v>
      </c>
      <c r="F146" s="2" t="s">
        <v>192</v>
      </c>
      <c r="G146" s="2" t="s">
        <v>194</v>
      </c>
    </row>
    <row r="147" spans="1:7" x14ac:dyDescent="0.3">
      <c r="A147" s="2" t="s">
        <v>152</v>
      </c>
      <c r="B147" s="2">
        <v>35</v>
      </c>
      <c r="C147" s="2">
        <v>41641</v>
      </c>
      <c r="D147" s="2" t="s">
        <v>189</v>
      </c>
      <c r="E147" s="2">
        <v>1</v>
      </c>
      <c r="F147" s="2" t="s">
        <v>192</v>
      </c>
      <c r="G147" s="2" t="s">
        <v>193</v>
      </c>
    </row>
    <row r="148" spans="1:7" x14ac:dyDescent="0.3">
      <c r="A148" s="2" t="s">
        <v>153</v>
      </c>
      <c r="B148" s="2">
        <v>46</v>
      </c>
      <c r="C148" s="2">
        <v>118746</v>
      </c>
      <c r="D148" s="2" t="s">
        <v>190</v>
      </c>
      <c r="E148" s="2">
        <v>7</v>
      </c>
      <c r="F148" s="2" t="s">
        <v>191</v>
      </c>
      <c r="G148" s="2" t="s">
        <v>193</v>
      </c>
    </row>
    <row r="149" spans="1:7" x14ac:dyDescent="0.3">
      <c r="A149" s="2" t="s">
        <v>154</v>
      </c>
      <c r="B149" s="2">
        <v>62</v>
      </c>
      <c r="C149" s="2">
        <v>51631</v>
      </c>
      <c r="D149" s="2" t="s">
        <v>187</v>
      </c>
      <c r="E149" s="2">
        <v>1</v>
      </c>
      <c r="F149" s="2" t="s">
        <v>192</v>
      </c>
      <c r="G149" s="2" t="s">
        <v>193</v>
      </c>
    </row>
    <row r="150" spans="1:7" x14ac:dyDescent="0.3">
      <c r="A150" s="2" t="s">
        <v>155</v>
      </c>
      <c r="B150" s="2">
        <v>33</v>
      </c>
      <c r="C150" s="2">
        <v>87991</v>
      </c>
      <c r="D150" s="2" t="s">
        <v>189</v>
      </c>
      <c r="E150" s="2">
        <v>3</v>
      </c>
      <c r="F150" s="2" t="s">
        <v>192</v>
      </c>
      <c r="G150" s="2" t="s">
        <v>193</v>
      </c>
    </row>
    <row r="151" spans="1:7" x14ac:dyDescent="0.3">
      <c r="A151" s="2" t="s">
        <v>156</v>
      </c>
      <c r="B151" s="2">
        <v>52</v>
      </c>
      <c r="C151" s="2">
        <v>19014</v>
      </c>
      <c r="D151" s="2" t="s">
        <v>190</v>
      </c>
      <c r="E151" s="2">
        <v>5</v>
      </c>
      <c r="F151" s="2" t="s">
        <v>191</v>
      </c>
      <c r="G151" s="2" t="s">
        <v>194</v>
      </c>
    </row>
    <row r="152" spans="1:7" x14ac:dyDescent="0.3">
      <c r="A152" s="2" t="s">
        <v>157</v>
      </c>
      <c r="B152" s="2">
        <v>59</v>
      </c>
      <c r="C152" s="2">
        <v>26093</v>
      </c>
      <c r="D152" s="2" t="s">
        <v>190</v>
      </c>
      <c r="E152" s="2">
        <v>4</v>
      </c>
      <c r="F152" s="2" t="s">
        <v>191</v>
      </c>
      <c r="G152" s="2" t="s">
        <v>194</v>
      </c>
    </row>
    <row r="153" spans="1:7" x14ac:dyDescent="0.3">
      <c r="A153" s="2" t="s">
        <v>158</v>
      </c>
      <c r="B153" s="2">
        <v>69</v>
      </c>
      <c r="C153" s="2">
        <v>33070</v>
      </c>
      <c r="D153" s="2" t="s">
        <v>187</v>
      </c>
      <c r="E153" s="2">
        <v>6</v>
      </c>
      <c r="F153" s="2" t="s">
        <v>191</v>
      </c>
      <c r="G153" s="2" t="s">
        <v>194</v>
      </c>
    </row>
    <row r="154" spans="1:7" x14ac:dyDescent="0.3">
      <c r="A154" s="2" t="s">
        <v>159</v>
      </c>
      <c r="B154" s="2">
        <v>52</v>
      </c>
      <c r="C154" s="2">
        <v>50777</v>
      </c>
      <c r="D154" s="2" t="s">
        <v>188</v>
      </c>
      <c r="E154" s="2">
        <v>1</v>
      </c>
      <c r="F154" s="2" t="s">
        <v>192</v>
      </c>
      <c r="G154" s="2" t="s">
        <v>193</v>
      </c>
    </row>
    <row r="155" spans="1:7" x14ac:dyDescent="0.3">
      <c r="A155" s="2" t="s">
        <v>160</v>
      </c>
      <c r="B155" s="2">
        <v>24</v>
      </c>
      <c r="C155" s="2">
        <v>71958</v>
      </c>
      <c r="D155" s="2" t="s">
        <v>189</v>
      </c>
      <c r="E155" s="2">
        <v>7</v>
      </c>
      <c r="F155" s="2" t="s">
        <v>191</v>
      </c>
      <c r="G155" s="2" t="s">
        <v>194</v>
      </c>
    </row>
    <row r="156" spans="1:7" x14ac:dyDescent="0.3">
      <c r="A156" s="2" t="s">
        <v>161</v>
      </c>
      <c r="B156" s="2">
        <v>50</v>
      </c>
      <c r="C156" s="2">
        <v>97074</v>
      </c>
      <c r="D156" s="2" t="s">
        <v>187</v>
      </c>
      <c r="E156" s="2">
        <v>4</v>
      </c>
      <c r="F156" s="2" t="s">
        <v>191</v>
      </c>
      <c r="G156" s="2" t="s">
        <v>193</v>
      </c>
    </row>
    <row r="157" spans="1:7" x14ac:dyDescent="0.3">
      <c r="A157" s="2" t="s">
        <v>162</v>
      </c>
      <c r="B157" s="2">
        <v>57</v>
      </c>
      <c r="C157" s="2">
        <v>25729</v>
      </c>
      <c r="D157" s="2" t="s">
        <v>190</v>
      </c>
      <c r="E157" s="2">
        <v>1</v>
      </c>
      <c r="F157" s="2" t="s">
        <v>191</v>
      </c>
      <c r="G157" s="2" t="s">
        <v>193</v>
      </c>
    </row>
    <row r="158" spans="1:7" x14ac:dyDescent="0.3">
      <c r="A158" s="2" t="s">
        <v>163</v>
      </c>
      <c r="B158" s="2">
        <v>43</v>
      </c>
      <c r="C158" s="2">
        <v>120864</v>
      </c>
      <c r="D158" s="2" t="s">
        <v>190</v>
      </c>
      <c r="E158" s="2">
        <v>1</v>
      </c>
      <c r="F158" s="2" t="s">
        <v>191</v>
      </c>
      <c r="G158" s="2" t="s">
        <v>194</v>
      </c>
    </row>
    <row r="159" spans="1:7" x14ac:dyDescent="0.3">
      <c r="A159" s="2" t="s">
        <v>164</v>
      </c>
      <c r="B159" s="2">
        <v>59</v>
      </c>
      <c r="C159" s="2">
        <v>145858</v>
      </c>
      <c r="D159" s="2" t="s">
        <v>187</v>
      </c>
      <c r="E159" s="2">
        <v>1</v>
      </c>
      <c r="F159" s="2" t="s">
        <v>191</v>
      </c>
      <c r="G159" s="2" t="s">
        <v>194</v>
      </c>
    </row>
    <row r="160" spans="1:7" x14ac:dyDescent="0.3">
      <c r="A160" s="2" t="s">
        <v>165</v>
      </c>
      <c r="B160" s="2">
        <v>65</v>
      </c>
      <c r="C160" s="2">
        <v>120510</v>
      </c>
      <c r="D160" s="2" t="s">
        <v>189</v>
      </c>
      <c r="E160" s="2">
        <v>6</v>
      </c>
      <c r="F160" s="2" t="s">
        <v>191</v>
      </c>
      <c r="G160" s="2" t="s">
        <v>194</v>
      </c>
    </row>
    <row r="161" spans="1:7" x14ac:dyDescent="0.3">
      <c r="A161" s="2" t="s">
        <v>166</v>
      </c>
      <c r="B161" s="2">
        <v>35</v>
      </c>
      <c r="C161" s="2">
        <v>69748</v>
      </c>
      <c r="D161" s="2" t="s">
        <v>188</v>
      </c>
      <c r="E161" s="2">
        <v>5</v>
      </c>
      <c r="F161" s="2" t="s">
        <v>192</v>
      </c>
      <c r="G161" s="2" t="s">
        <v>193</v>
      </c>
    </row>
    <row r="162" spans="1:7" x14ac:dyDescent="0.3">
      <c r="A162" s="2" t="s">
        <v>167</v>
      </c>
      <c r="B162" s="2">
        <v>63</v>
      </c>
      <c r="C162" s="2">
        <v>20801</v>
      </c>
      <c r="D162" s="2" t="s">
        <v>188</v>
      </c>
      <c r="E162" s="2">
        <v>6</v>
      </c>
      <c r="F162" s="2" t="s">
        <v>192</v>
      </c>
      <c r="G162" s="2" t="s">
        <v>194</v>
      </c>
    </row>
    <row r="163" spans="1:7" x14ac:dyDescent="0.3">
      <c r="A163" s="2" t="s">
        <v>168</v>
      </c>
      <c r="B163" s="2">
        <v>49</v>
      </c>
      <c r="C163" s="2">
        <v>44592</v>
      </c>
      <c r="D163" s="2" t="s">
        <v>190</v>
      </c>
      <c r="E163" s="2">
        <v>2</v>
      </c>
      <c r="F163" s="2" t="s">
        <v>191</v>
      </c>
      <c r="G163" s="2" t="s">
        <v>193</v>
      </c>
    </row>
    <row r="164" spans="1:7" x14ac:dyDescent="0.3">
      <c r="A164" s="2" t="s">
        <v>169</v>
      </c>
      <c r="B164" s="2">
        <v>56</v>
      </c>
      <c r="C164" s="2">
        <v>25647</v>
      </c>
      <c r="D164" s="2" t="s">
        <v>189</v>
      </c>
      <c r="E164" s="2">
        <v>4</v>
      </c>
      <c r="F164" s="2" t="s">
        <v>191</v>
      </c>
      <c r="G164" s="2" t="s">
        <v>194</v>
      </c>
    </row>
    <row r="165" spans="1:7" x14ac:dyDescent="0.3">
      <c r="A165" s="2" t="s">
        <v>170</v>
      </c>
      <c r="B165" s="2">
        <v>33</v>
      </c>
      <c r="C165" s="2">
        <v>125627</v>
      </c>
      <c r="D165" s="2" t="s">
        <v>188</v>
      </c>
      <c r="E165" s="2">
        <v>5</v>
      </c>
      <c r="F165" s="2" t="s">
        <v>191</v>
      </c>
      <c r="G165" s="2" t="s">
        <v>193</v>
      </c>
    </row>
    <row r="166" spans="1:7" x14ac:dyDescent="0.3">
      <c r="A166" s="2" t="s">
        <v>171</v>
      </c>
      <c r="B166" s="2">
        <v>52</v>
      </c>
      <c r="C166" s="2">
        <v>85316</v>
      </c>
      <c r="D166" s="2" t="s">
        <v>189</v>
      </c>
      <c r="E166" s="2">
        <v>5</v>
      </c>
      <c r="F166" s="2" t="s">
        <v>192</v>
      </c>
      <c r="G166" s="2" t="s">
        <v>193</v>
      </c>
    </row>
    <row r="167" spans="1:7" x14ac:dyDescent="0.3">
      <c r="A167" s="2" t="s">
        <v>172</v>
      </c>
      <c r="B167" s="2">
        <v>27</v>
      </c>
      <c r="C167" s="2">
        <v>17368</v>
      </c>
      <c r="D167" s="2" t="s">
        <v>189</v>
      </c>
      <c r="E167" s="2">
        <v>5</v>
      </c>
      <c r="F167" s="2" t="s">
        <v>192</v>
      </c>
      <c r="G167" s="2" t="s">
        <v>194</v>
      </c>
    </row>
    <row r="168" spans="1:7" x14ac:dyDescent="0.3">
      <c r="A168" s="2" t="s">
        <v>173</v>
      </c>
      <c r="B168" s="2">
        <v>42</v>
      </c>
      <c r="C168" s="2">
        <v>92575</v>
      </c>
      <c r="D168" s="2" t="s">
        <v>190</v>
      </c>
      <c r="E168" s="2">
        <v>7</v>
      </c>
      <c r="F168" s="2" t="s">
        <v>192</v>
      </c>
      <c r="G168" s="2" t="s">
        <v>193</v>
      </c>
    </row>
    <row r="169" spans="1:7" x14ac:dyDescent="0.3">
      <c r="A169" s="2" t="s">
        <v>174</v>
      </c>
      <c r="B169" s="2">
        <v>48</v>
      </c>
      <c r="C169" s="2">
        <v>21655</v>
      </c>
      <c r="D169" s="2" t="s">
        <v>188</v>
      </c>
      <c r="E169" s="2">
        <v>5</v>
      </c>
      <c r="F169" s="2" t="s">
        <v>192</v>
      </c>
      <c r="G169" s="2" t="s">
        <v>193</v>
      </c>
    </row>
    <row r="170" spans="1:7" x14ac:dyDescent="0.3">
      <c r="A170" s="2" t="s">
        <v>175</v>
      </c>
      <c r="B170" s="2">
        <v>22</v>
      </c>
      <c r="C170" s="2">
        <v>85031</v>
      </c>
      <c r="D170" s="2" t="s">
        <v>187</v>
      </c>
      <c r="E170" s="2">
        <v>6</v>
      </c>
      <c r="F170" s="2" t="s">
        <v>192</v>
      </c>
      <c r="G170" s="2" t="s">
        <v>194</v>
      </c>
    </row>
    <row r="171" spans="1:7" x14ac:dyDescent="0.3">
      <c r="A171" s="2" t="s">
        <v>176</v>
      </c>
      <c r="B171" s="2">
        <v>62</v>
      </c>
      <c r="C171" s="2">
        <v>102922</v>
      </c>
      <c r="D171" s="2" t="s">
        <v>190</v>
      </c>
      <c r="E171" s="2">
        <v>5</v>
      </c>
      <c r="F171" s="2" t="s">
        <v>192</v>
      </c>
      <c r="G171" s="2" t="s">
        <v>193</v>
      </c>
    </row>
    <row r="172" spans="1:7" x14ac:dyDescent="0.3">
      <c r="A172" s="2" t="s">
        <v>177</v>
      </c>
      <c r="B172" s="2">
        <v>65</v>
      </c>
      <c r="C172" s="2">
        <v>139046</v>
      </c>
      <c r="D172" s="2" t="s">
        <v>188</v>
      </c>
      <c r="E172" s="2">
        <v>3</v>
      </c>
      <c r="F172" s="2" t="s">
        <v>192</v>
      </c>
      <c r="G172" s="2" t="s">
        <v>194</v>
      </c>
    </row>
    <row r="173" spans="1:7" x14ac:dyDescent="0.3">
      <c r="A173" s="2" t="s">
        <v>178</v>
      </c>
      <c r="B173" s="2">
        <v>26</v>
      </c>
      <c r="C173" s="2">
        <v>47097</v>
      </c>
      <c r="D173" s="2" t="s">
        <v>188</v>
      </c>
      <c r="E173" s="2">
        <v>4</v>
      </c>
      <c r="F173" s="2" t="s">
        <v>192</v>
      </c>
      <c r="G173" s="2" t="s">
        <v>193</v>
      </c>
    </row>
    <row r="174" spans="1:7" x14ac:dyDescent="0.3">
      <c r="A174" s="2" t="s">
        <v>179</v>
      </c>
      <c r="B174" s="2">
        <v>48</v>
      </c>
      <c r="C174" s="2">
        <v>139862</v>
      </c>
      <c r="D174" s="2" t="s">
        <v>188</v>
      </c>
      <c r="E174" s="2">
        <v>5</v>
      </c>
      <c r="F174" s="2" t="s">
        <v>192</v>
      </c>
      <c r="G174" s="2" t="s">
        <v>194</v>
      </c>
    </row>
    <row r="175" spans="1:7" x14ac:dyDescent="0.3">
      <c r="A175" s="2" t="s">
        <v>180</v>
      </c>
      <c r="B175" s="2">
        <v>48</v>
      </c>
      <c r="C175" s="2">
        <v>133834</v>
      </c>
      <c r="D175" s="2" t="s">
        <v>188</v>
      </c>
      <c r="E175" s="2">
        <v>4</v>
      </c>
      <c r="F175" s="2" t="s">
        <v>191</v>
      </c>
      <c r="G175" s="2" t="s">
        <v>194</v>
      </c>
    </row>
    <row r="176" spans="1:7" x14ac:dyDescent="0.3">
      <c r="A176" s="2" t="s">
        <v>181</v>
      </c>
      <c r="B176" s="2">
        <v>64</v>
      </c>
      <c r="C176" s="2">
        <v>108848</v>
      </c>
      <c r="D176" s="2" t="s">
        <v>188</v>
      </c>
      <c r="E176" s="2">
        <v>3</v>
      </c>
      <c r="F176" s="2" t="s">
        <v>191</v>
      </c>
      <c r="G176" s="2" t="s">
        <v>193</v>
      </c>
    </row>
    <row r="177" spans="1:7" x14ac:dyDescent="0.3">
      <c r="A177" s="2" t="s">
        <v>182</v>
      </c>
      <c r="B177" s="2">
        <v>64</v>
      </c>
      <c r="C177" s="2">
        <v>67921</v>
      </c>
      <c r="D177" s="2" t="s">
        <v>189</v>
      </c>
      <c r="E177" s="2">
        <v>3</v>
      </c>
      <c r="F177" s="2" t="s">
        <v>191</v>
      </c>
      <c r="G177" s="2" t="s">
        <v>193</v>
      </c>
    </row>
    <row r="178" spans="1:7" x14ac:dyDescent="0.3">
      <c r="A178" s="2" t="s">
        <v>183</v>
      </c>
      <c r="B178" s="2">
        <v>40</v>
      </c>
      <c r="C178" s="2">
        <v>141141</v>
      </c>
      <c r="D178" s="2" t="s">
        <v>190</v>
      </c>
      <c r="E178" s="2">
        <v>4</v>
      </c>
      <c r="F178" s="2" t="s">
        <v>191</v>
      </c>
      <c r="G178" s="2" t="s">
        <v>193</v>
      </c>
    </row>
    <row r="179" spans="1:7" x14ac:dyDescent="0.3">
      <c r="A179" s="2" t="s">
        <v>184</v>
      </c>
      <c r="B179" s="2">
        <v>50</v>
      </c>
      <c r="C179" s="2">
        <v>37677</v>
      </c>
      <c r="D179" s="2" t="s">
        <v>189</v>
      </c>
      <c r="E179" s="2">
        <v>1</v>
      </c>
      <c r="F179" s="2" t="s">
        <v>192</v>
      </c>
      <c r="G179" s="2" t="s">
        <v>193</v>
      </c>
    </row>
    <row r="180" spans="1:7" x14ac:dyDescent="0.3">
      <c r="A180" s="2" t="s">
        <v>185</v>
      </c>
      <c r="B180" s="2">
        <v>31</v>
      </c>
      <c r="C180" s="2">
        <v>70609</v>
      </c>
      <c r="D180" s="2" t="s">
        <v>187</v>
      </c>
      <c r="E180" s="2">
        <v>2</v>
      </c>
      <c r="F180" s="2" t="s">
        <v>192</v>
      </c>
      <c r="G180" s="2" t="s">
        <v>193</v>
      </c>
    </row>
    <row r="181" spans="1:7" x14ac:dyDescent="0.3">
      <c r="A181" s="2" t="s">
        <v>186</v>
      </c>
      <c r="B181" s="2">
        <v>48</v>
      </c>
      <c r="C181" s="2">
        <v>46024</v>
      </c>
      <c r="D181" s="2" t="s">
        <v>188</v>
      </c>
      <c r="E181" s="2">
        <v>7</v>
      </c>
      <c r="F181" s="2" t="s">
        <v>191</v>
      </c>
      <c r="G181" s="2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Pathan Tanaaz</dc:creator>
  <cp:lastModifiedBy>Pathan Tanaaz</cp:lastModifiedBy>
  <dcterms:created xsi:type="dcterms:W3CDTF">2026-03-24T14:35:46Z</dcterms:created>
  <dcterms:modified xsi:type="dcterms:W3CDTF">2026-03-25T09:16:27Z</dcterms:modified>
</cp:coreProperties>
</file>